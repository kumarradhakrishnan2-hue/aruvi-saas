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nnual Budget" sheetId="2" state="visible" r:id="rId4"/>
    <sheet name="English" sheetId="3" state="visible" r:id="rId5"/>
    <sheet name="Mathematics" sheetId="4" state="visible" r:id="rId6"/>
    <sheet name="Science" sheetId="5" state="visible" r:id="rId7"/>
    <sheet name="Social Sciences" sheetId="6" state="visible" r:id="rId8"/>
    <sheet name="The World Around U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<sst xmlns="http://schemas.openxmlformats.org/spreadsheetml/2006/main" count="592" uniqueCount="335">
  <si>
    <t xml:space="preserve">NCF Chapter-wise Period Allocation — Summary</t>
  </si>
  <si>
    <t xml:space="preserve">Per-chapter periods = NCF annual total (ncf_period_norms.json) distributed across the grade's chapters by effort-index weight (largest-remainder), identical to the Aruvi API's ncf_estimated_periods. 40-minute periods. Generated 2026-07-08.</t>
  </si>
  <si>
    <t xml:space="preserve">Subject</t>
  </si>
  <si>
    <t xml:space="preserve">Grade</t>
  </si>
  <si>
    <t xml:space="preserve">Stage</t>
  </si>
  <si>
    <t xml:space="preserve">NCF annual periods</t>
  </si>
  <si>
    <t xml:space="preserve">Chapters in content</t>
  </si>
  <si>
    <t xml:space="preserve">Sum of chapter periods</t>
  </si>
  <si>
    <t xml:space="preserve">Min / chapter</t>
  </si>
  <si>
    <t xml:space="preserve">Max / chapter</t>
  </si>
  <si>
    <t xml:space="preserve">English</t>
  </si>
  <si>
    <t xml:space="preserve">III</t>
  </si>
  <si>
    <t xml:space="preserve">Preparatory</t>
  </si>
  <si>
    <t xml:space="preserve">IV</t>
  </si>
  <si>
    <t xml:space="preserve">V</t>
  </si>
  <si>
    <t xml:space="preserve">VI</t>
  </si>
  <si>
    <t xml:space="preserve">Middle</t>
  </si>
  <si>
    <t xml:space="preserve">VII</t>
  </si>
  <si>
    <t xml:space="preserve">VIII</t>
  </si>
  <si>
    <t xml:space="preserve">IX</t>
  </si>
  <si>
    <t xml:space="preserve">Secondary</t>
  </si>
  <si>
    <t xml:space="preserve">Mathematics</t>
  </si>
  <si>
    <t xml:space="preserve">Yes</t>
  </si>
  <si>
    <t xml:space="preserve">9-16 dummy mapping</t>
  </si>
  <si>
    <t xml:space="preserve">Science</t>
  </si>
  <si>
    <t xml:space="preserve">Social Sciences</t>
  </si>
  <si>
    <t xml:space="preserve">8-14 dummy mapping</t>
  </si>
  <si>
    <t xml:space="preserve">The World Around Us</t>
  </si>
  <si>
    <t xml:space="preserve">Note: periods are distributed across chapters currently present in data/content, INCLUDING dummy placeholder chapters (Social Sciences VIII ch 8-14, Mathematics IX ch 9-16) that carry the average effort/weight of that grade's real chapters. These simulate the effect on period allocation of chapters NCERT has yet to publish; the annual total is redistributed across the full set, so each real chapter's share shrinks accordingly. Replace the dummies with real mappings on release.</t>
  </si>
  <si>
    <t xml:space="preserve">Annual Budget — Source Values</t>
  </si>
  <si>
    <t xml:space="preserve">Single source of truth for each subject·grade annual teaching budget (40-min periods). Column D holds the recommended NCF value (from ncf_period_norms.json); column E is the Annual budget used everywhere else — it derives from D by formula, so it currently equals the NCF recommendation but can be overridden per grade to model a different budget. The Summary sheet and every detail sheet's block header link to column E.</t>
  </si>
  <si>
    <t xml:space="preserve">Recommended NCF Periods</t>
  </si>
  <si>
    <t xml:space="preserve">Annual budget (periods)</t>
  </si>
  <si>
    <t xml:space="preserve">English — chapter-wise NCF period allocation</t>
  </si>
  <si>
    <t xml:space="preserve">Ch #</t>
  </si>
  <si>
    <t xml:space="preserve">Chapter title</t>
  </si>
  <si>
    <t xml:space="preserve">Weight</t>
  </si>
  <si>
    <t xml:space="preserve">NCF periods</t>
  </si>
  <si>
    <t xml:space="preserve">Fun with Friends</t>
  </si>
  <si>
    <t xml:space="preserve">Badal and Moti</t>
  </si>
  <si>
    <t xml:space="preserve">Best Friends</t>
  </si>
  <si>
    <t xml:space="preserve">Toys and Games</t>
  </si>
  <si>
    <t xml:space="preserve">Talking Toys</t>
  </si>
  <si>
    <t xml:space="preserve">Paper Boats</t>
  </si>
  <si>
    <t xml:space="preserve">The Big Laddoo</t>
  </si>
  <si>
    <t xml:space="preserve">Thank God!</t>
  </si>
  <si>
    <t xml:space="preserve">Madhu's Wish</t>
  </si>
  <si>
    <t xml:space="preserve">Night</t>
  </si>
  <si>
    <t xml:space="preserve">Chanda Mama Counts the Stars</t>
  </si>
  <si>
    <t xml:space="preserve">Chandrayaan</t>
  </si>
  <si>
    <t xml:space="preserve">Total</t>
  </si>
  <si>
    <t xml:space="preserve">Together We Can</t>
  </si>
  <si>
    <t xml:space="preserve">The Tinkling Bells</t>
  </si>
  <si>
    <t xml:space="preserve">Be Smart, Be Safe</t>
  </si>
  <si>
    <t xml:space="preserve">One Thing at a Time</t>
  </si>
  <si>
    <t xml:space="preserve">The Old Stag</t>
  </si>
  <si>
    <t xml:space="preserve">Braille</t>
  </si>
  <si>
    <t xml:space="preserve">Fit Body, Fit Mind, Fit Nation</t>
  </si>
  <si>
    <t xml:space="preserve">The Lagori Champions</t>
  </si>
  <si>
    <t xml:space="preserve">Hekko</t>
  </si>
  <si>
    <t xml:space="preserve">The Swing</t>
  </si>
  <si>
    <t xml:space="preserve">A Journey to the Magical Mountains</t>
  </si>
  <si>
    <t xml:space="preserve">Maheshwar</t>
  </si>
  <si>
    <t xml:space="preserve">Papa's Spectacles</t>
  </si>
  <si>
    <t xml:space="preserve">Gone with the Scooter</t>
  </si>
  <si>
    <t xml:space="preserve">The Rainbow</t>
  </si>
  <si>
    <t xml:space="preserve">The Wise Parrot</t>
  </si>
  <si>
    <t xml:space="preserve">The Frog</t>
  </si>
  <si>
    <t xml:space="preserve">What a Tank!</t>
  </si>
  <si>
    <t xml:space="preserve">Gilli Danda</t>
  </si>
  <si>
    <t xml:space="preserve">The Decision of the Panchayat</t>
  </si>
  <si>
    <t xml:space="preserve">Vocation</t>
  </si>
  <si>
    <t xml:space="preserve">Glass Bangles</t>
  </si>
  <si>
    <t xml:space="preserve">A Bottle of Dew (Fables and Folk Tales)</t>
  </si>
  <si>
    <t xml:space="preserve">The Raven and the Fox (Fables and Folk Tales)</t>
  </si>
  <si>
    <t xml:space="preserve">Rama to the Rescue (Fables and Folk Tales)</t>
  </si>
  <si>
    <t xml:space="preserve">The Unlikely Best Friends (Friendship)</t>
  </si>
  <si>
    <t xml:space="preserve">A Friend's Prayer (Friendship)</t>
  </si>
  <si>
    <t xml:space="preserve">The Chair (Friendship)</t>
  </si>
  <si>
    <t xml:space="preserve">Neem Baba (Nurturing Nature)</t>
  </si>
  <si>
    <t xml:space="preserve">What a Bird Thought (Nurturing Nature)</t>
  </si>
  <si>
    <t xml:space="preserve">Spices that Heal Us (Nurturing Nature)</t>
  </si>
  <si>
    <t xml:space="preserve">Change of Heart (Sports and Wellness)</t>
  </si>
  <si>
    <t xml:space="preserve">The Winner (Sports and Wellness)</t>
  </si>
  <si>
    <t xml:space="preserve">Yoga — A Way of Life (Sports and Wellness)</t>
  </si>
  <si>
    <t xml:space="preserve">Kalakritiyon ka Bharat (Culture and Tradition)</t>
  </si>
  <si>
    <t xml:space="preserve">The Kites (Culture and Tradition)</t>
  </si>
  <si>
    <t xml:space="preserve">Ila Sachani: Embroidering Dreams with her Feet (Culture and Tradition)</t>
  </si>
  <si>
    <t xml:space="preserve">National War Memorial (Culture and Tradition)</t>
  </si>
  <si>
    <t xml:space="preserve">The Day the River Spoke (Learning Together)</t>
  </si>
  <si>
    <t xml:space="preserve">Try Again (Learning Together)</t>
  </si>
  <si>
    <t xml:space="preserve">Three Days to See (Learning Together)</t>
  </si>
  <si>
    <t xml:space="preserve">Animals, Birds, and Dr. Dolittle (Wit and Humour)</t>
  </si>
  <si>
    <t xml:space="preserve">A Funny Man (Wit and Humour)</t>
  </si>
  <si>
    <t xml:space="preserve">Say the Right Thing (Wit and Humour)</t>
  </si>
  <si>
    <t xml:space="preserve">My Brother's Greatest Invention (Dreams and Discoveries)</t>
  </si>
  <si>
    <t xml:space="preserve">Paper Boats (Dreams and Discoveries)</t>
  </si>
  <si>
    <t xml:space="preserve">North, South, East, West (Dreams and Discoveries)</t>
  </si>
  <si>
    <t xml:space="preserve">The Tunnel (Travel and Adventure)</t>
  </si>
  <si>
    <t xml:space="preserve">Travel (Travel and Adventure)</t>
  </si>
  <si>
    <t xml:space="preserve">Conquering the Summit (Travel and Adventure)</t>
  </si>
  <si>
    <t xml:space="preserve">A Homage to Our Brave Soldiers (Bravehearts)</t>
  </si>
  <si>
    <t xml:space="preserve">My Dear Soldiers (Bravehearts)</t>
  </si>
  <si>
    <t xml:space="preserve">Rani Abbakka (Bravehearts)</t>
  </si>
  <si>
    <t xml:space="preserve">The Wit that Won Hearts (Wit and Wisdom)</t>
  </si>
  <si>
    <t xml:space="preserve">A Concrete Example (Wit and Wisdom)</t>
  </si>
  <si>
    <t xml:space="preserve">Wisdom Paves the Way (Wit and Wisdom)</t>
  </si>
  <si>
    <t xml:space="preserve">A Tale of Valour — Major Somnath Sharma and the Battle of Badgam (Values and Dispositions)</t>
  </si>
  <si>
    <t xml:space="preserve">Somebody's Mother (Values and Dispositions)</t>
  </si>
  <si>
    <t xml:space="preserve">Verghese Kurien — I Too Had A Dream (Values and Dispositions)</t>
  </si>
  <si>
    <t xml:space="preserve">The Case of the Fifth Word (Mystery and Magic)</t>
  </si>
  <si>
    <t xml:space="preserve">The Magic Brush of Dreams (Mystery and Magic)</t>
  </si>
  <si>
    <t xml:space="preserve">Spectacular Wonders (Mystery and Magic)</t>
  </si>
  <si>
    <t xml:space="preserve">The Cherry Tree (Environment)</t>
  </si>
  <si>
    <t xml:space="preserve">Harvest Hymn (Environment)</t>
  </si>
  <si>
    <t xml:space="preserve">Waiting for the Rain (Environment)</t>
  </si>
  <si>
    <t xml:space="preserve">Feathered Friend (Science and Curiosity)</t>
  </si>
  <si>
    <t xml:space="preserve">Magnifying Glass (Science and Curiosity)</t>
  </si>
  <si>
    <t xml:space="preserve">Bibha Chowdhuri — The Beam of Light that Lit the Path for Women in Indian Science (Science and Curiosity)</t>
  </si>
  <si>
    <t xml:space="preserve">How I Taught My Grandmother to Read</t>
  </si>
  <si>
    <t xml:space="preserve">The Pot Maker</t>
  </si>
  <si>
    <t xml:space="preserve">Winds of Change</t>
  </si>
  <si>
    <t xml:space="preserve">Vitamin-M</t>
  </si>
  <si>
    <t xml:space="preserve">The World of Limitless Possibilities</t>
  </si>
  <si>
    <t xml:space="preserve">Twin Melodies</t>
  </si>
  <si>
    <t xml:space="preserve">Carrier of Words</t>
  </si>
  <si>
    <t xml:space="preserve">Follow That Dream</t>
  </si>
  <si>
    <t xml:space="preserve">Mathematics — chapter-wise NCF period allocation</t>
  </si>
  <si>
    <t xml:space="preserve">What's in a Name?</t>
  </si>
  <si>
    <t xml:space="preserve">Toy Joy</t>
  </si>
  <si>
    <t xml:space="preserve">Double Century</t>
  </si>
  <si>
    <t xml:space="preserve">Vacation with My Nani Maa</t>
  </si>
  <si>
    <t xml:space="preserve">Fun with Shapes</t>
  </si>
  <si>
    <t xml:space="preserve">House of Hundreds - I</t>
  </si>
  <si>
    <t xml:space="preserve">Raksha Bandhan</t>
  </si>
  <si>
    <t xml:space="preserve">Fair Share</t>
  </si>
  <si>
    <t xml:space="preserve">House of Hundreds - II</t>
  </si>
  <si>
    <t xml:space="preserve">Fun at Class Party!</t>
  </si>
  <si>
    <t xml:space="preserve">Filling and Lifting</t>
  </si>
  <si>
    <t xml:space="preserve">Give and Take</t>
  </si>
  <si>
    <t xml:space="preserve">Time Goes On</t>
  </si>
  <si>
    <t xml:space="preserve">The Surajkund Fair</t>
  </si>
  <si>
    <t xml:space="preserve">Shapes Around Us</t>
  </si>
  <si>
    <t xml:space="preserve">Hide and Seek</t>
  </si>
  <si>
    <t xml:space="preserve">Patterns Around Us</t>
  </si>
  <si>
    <t xml:space="preserve">Thousands Around Us</t>
  </si>
  <si>
    <t xml:space="preserve">Sharing and Measuring</t>
  </si>
  <si>
    <t xml:space="preserve">Measuring Length</t>
  </si>
  <si>
    <t xml:space="preserve">The Cleanest Village</t>
  </si>
  <si>
    <t xml:space="preserve">Weigh It, Pour It</t>
  </si>
  <si>
    <t xml:space="preserve">Equal Groups</t>
  </si>
  <si>
    <t xml:space="preserve">Elephants, Tigers, and Leopards</t>
  </si>
  <si>
    <t xml:space="preserve">Fun with Symmetry</t>
  </si>
  <si>
    <t xml:space="preserve">Ticking Clocks and Turning Calendar</t>
  </si>
  <si>
    <t xml:space="preserve">The Transport Museum</t>
  </si>
  <si>
    <t xml:space="preserve">Data Handling</t>
  </si>
  <si>
    <t xml:space="preserve">We the Travellers—I</t>
  </si>
  <si>
    <t xml:space="preserve">Fractions</t>
  </si>
  <si>
    <t xml:space="preserve">Angles as Turns</t>
  </si>
  <si>
    <t xml:space="preserve">We the Travellers — II</t>
  </si>
  <si>
    <t xml:space="preserve">Far and Near</t>
  </si>
  <si>
    <t xml:space="preserve">The Dairy Farm</t>
  </si>
  <si>
    <t xml:space="preserve">Shapes and Patterns</t>
  </si>
  <si>
    <t xml:space="preserve">Weight and Capacity</t>
  </si>
  <si>
    <t xml:space="preserve">Coconut Farm</t>
  </si>
  <si>
    <t xml:space="preserve">Symmetrical Designs</t>
  </si>
  <si>
    <t xml:space="preserve">Grandmother's Quilt</t>
  </si>
  <si>
    <t xml:space="preserve">Racing Seconds</t>
  </si>
  <si>
    <t xml:space="preserve">Animal Jumps</t>
  </si>
  <si>
    <t xml:space="preserve">Maps And Locations</t>
  </si>
  <si>
    <t xml:space="preserve">Data Through Pictures</t>
  </si>
  <si>
    <t xml:space="preserve">Patterns in Mathematics</t>
  </si>
  <si>
    <t xml:space="preserve">Lines and Angles</t>
  </si>
  <si>
    <t xml:space="preserve">Number Play</t>
  </si>
  <si>
    <t xml:space="preserve">Data Handling and Presentation</t>
  </si>
  <si>
    <t xml:space="preserve">Prime Time</t>
  </si>
  <si>
    <t xml:space="preserve">Perimeter and Area</t>
  </si>
  <si>
    <t xml:space="preserve">Playing with Constructions</t>
  </si>
  <si>
    <t xml:space="preserve">Symmetry</t>
  </si>
  <si>
    <t xml:space="preserve">The Other Side of Zero</t>
  </si>
  <si>
    <t xml:space="preserve">Large Numbers Around Us</t>
  </si>
  <si>
    <t xml:space="preserve">Arithmetic Expressions</t>
  </si>
  <si>
    <t xml:space="preserve">A Peek Beyond the Point</t>
  </si>
  <si>
    <t xml:space="preserve">Expressions Using Letter-Numbers</t>
  </si>
  <si>
    <t xml:space="preserve">Parallel and Intersecting Lines</t>
  </si>
  <si>
    <t xml:space="preserve">A Tale of Three Intersecting Lines</t>
  </si>
  <si>
    <t xml:space="preserve">Working with Fractions</t>
  </si>
  <si>
    <t xml:space="preserve">A Square and A Cube</t>
  </si>
  <si>
    <t xml:space="preserve">Power Play</t>
  </si>
  <si>
    <t xml:space="preserve">A Story of Numbers</t>
  </si>
  <si>
    <t xml:space="preserve">Quadrilaterals</t>
  </si>
  <si>
    <t xml:space="preserve">We Distribute, Yet Things Multiply</t>
  </si>
  <si>
    <t xml:space="preserve">Proportional Reasoning-1</t>
  </si>
  <si>
    <t xml:space="preserve">Fractions in Disguise</t>
  </si>
  <si>
    <t xml:space="preserve">The Baudhāyana-Pythagoras Theorem</t>
  </si>
  <si>
    <t xml:space="preserve">Proportional Reasoning–2</t>
  </si>
  <si>
    <t xml:space="preserve">Exploring Some Geometric Themes</t>
  </si>
  <si>
    <t xml:space="preserve">Tales by Dots and Lines</t>
  </si>
  <si>
    <t xml:space="preserve">Algebra Play</t>
  </si>
  <si>
    <t xml:space="preserve">Area</t>
  </si>
  <si>
    <t xml:space="preserve">Orienting Yourself: The Use of Coordinates</t>
  </si>
  <si>
    <t xml:space="preserve">Introduction to Linear Polynomials</t>
  </si>
  <si>
    <t xml:space="preserve">The World of Numbers</t>
  </si>
  <si>
    <t xml:space="preserve">Exploring Algebraic Identities</t>
  </si>
  <si>
    <t xml:space="preserve">I'm Up and Down, and Round and Round</t>
  </si>
  <si>
    <t xml:space="preserve">Measuring Space: Perimeter and Area</t>
  </si>
  <si>
    <t xml:space="preserve">The Mathematics of Maybe: Introduction to Probability</t>
  </si>
  <si>
    <t xml:space="preserve">Predicting What Comes Next: Exploring Sequences and Progressions</t>
  </si>
  <si>
    <t xml:space="preserve">Chapter 9: (Placeholder — awaiting NCERT release)</t>
  </si>
  <si>
    <t xml:space="preserve">Chapter 10: (Placeholder — awaiting NCERT release)</t>
  </si>
  <si>
    <t xml:space="preserve">Chapter 11: (Placeholder — awaiting NCERT release)</t>
  </si>
  <si>
    <t xml:space="preserve">Chapter 12: (Placeholder — awaiting NCERT release)</t>
  </si>
  <si>
    <t xml:space="preserve">Chapter 13: (Placeholder — awaiting NCERT release)</t>
  </si>
  <si>
    <t xml:space="preserve">Chapter 14: (Placeholder — awaiting NCERT release)</t>
  </si>
  <si>
    <t xml:space="preserve">Chapter 15: (Placeholder — awaiting NCERT release)</t>
  </si>
  <si>
    <t xml:space="preserve">Chapter 16: (Placeholder — awaiting NCERT release)</t>
  </si>
  <si>
    <t xml:space="preserve">Science — chapter-wise NCF period allocation</t>
  </si>
  <si>
    <t xml:space="preserve">The Wonderful World of Science</t>
  </si>
  <si>
    <t xml:space="preserve">Diversity in the Living World</t>
  </si>
  <si>
    <t xml:space="preserve">Mindful Eating: A Path to a Healthy Body</t>
  </si>
  <si>
    <t xml:space="preserve">Exploring Magnets</t>
  </si>
  <si>
    <t xml:space="preserve">Measurement of Length and Motion</t>
  </si>
  <si>
    <t xml:space="preserve">Materials Around Us</t>
  </si>
  <si>
    <t xml:space="preserve">Temperature and its Measurement</t>
  </si>
  <si>
    <t xml:space="preserve">A Journey through States of Water</t>
  </si>
  <si>
    <t xml:space="preserve">Methods of Separation in Everyday Life</t>
  </si>
  <si>
    <t xml:space="preserve">Living Creatures: Exploring their Characteristics</t>
  </si>
  <si>
    <t xml:space="preserve">Nature's Treasures</t>
  </si>
  <si>
    <t xml:space="preserve">Beyond Earth</t>
  </si>
  <si>
    <t xml:space="preserve">The Ever-Evolving World of Science</t>
  </si>
  <si>
    <t xml:space="preserve">Exploring Substances: Acidic, Basic, and Neutral</t>
  </si>
  <si>
    <t xml:space="preserve">Electricity — Circuits and their Components</t>
  </si>
  <si>
    <t xml:space="preserve">The World of Metals and Non-metals</t>
  </si>
  <si>
    <t xml:space="preserve">Changes Around Us — Physical and Chemical</t>
  </si>
  <si>
    <t xml:space="preserve">Adolescence — A Stage of Growth and Change</t>
  </si>
  <si>
    <t xml:space="preserve">Heat Transfer in Nature</t>
  </si>
  <si>
    <t xml:space="preserve">Measurement of Time and Motion</t>
  </si>
  <si>
    <t xml:space="preserve">Life Processes in Animals</t>
  </si>
  <si>
    <t xml:space="preserve">Life Processes in Plants</t>
  </si>
  <si>
    <t xml:space="preserve">Light — Shadows and Reflections</t>
  </si>
  <si>
    <t xml:space="preserve">Earth, Moon, and the Sun</t>
  </si>
  <si>
    <t xml:space="preserve">Exploring the Investigative World of Science</t>
  </si>
  <si>
    <t xml:space="preserve">The Invisible Living World: Beyond Our Naked Eye</t>
  </si>
  <si>
    <t xml:space="preserve">Health: The Ultimate Treasure</t>
  </si>
  <si>
    <t xml:space="preserve">Electricity: Magnetic and Heating Effects</t>
  </si>
  <si>
    <t xml:space="preserve">Exploring Forces</t>
  </si>
  <si>
    <t xml:space="preserve">Pressure, Winds, Storms, and Cyclones</t>
  </si>
  <si>
    <t xml:space="preserve">Particulate Nature of Matter</t>
  </si>
  <si>
    <t xml:space="preserve">Nature of Matter: Elements, Compounds, and Mixtures</t>
  </si>
  <si>
    <t xml:space="preserve">The Amazing World of Solutes, Solvents, and Solutions</t>
  </si>
  <si>
    <t xml:space="preserve">Light: Mirrors and Lenses</t>
  </si>
  <si>
    <t xml:space="preserve">Keeping Time with the Skies</t>
  </si>
  <si>
    <t xml:space="preserve">How Nature Works in Harmony</t>
  </si>
  <si>
    <t xml:space="preserve">Our Home: Earth, a Unique Life Sustaining Planet</t>
  </si>
  <si>
    <t xml:space="preserve">Exploration: Entering the World of Secondary Science</t>
  </si>
  <si>
    <t xml:space="preserve">Cell: The Building Block of Life</t>
  </si>
  <si>
    <t xml:space="preserve">Tissues in Action</t>
  </si>
  <si>
    <t xml:space="preserve">Describing Motion Around Us</t>
  </si>
  <si>
    <t xml:space="preserve">Exploring Mixtures and their Separation</t>
  </si>
  <si>
    <t xml:space="preserve">How Forces Affect Motion</t>
  </si>
  <si>
    <t xml:space="preserve">Work, Energy, and Simple Machines</t>
  </si>
  <si>
    <t xml:space="preserve">Journey Inside the Atom</t>
  </si>
  <si>
    <t xml:space="preserve">Atomic Foundations of Matter</t>
  </si>
  <si>
    <t xml:space="preserve">Sound Waves: Characteristics and Applications</t>
  </si>
  <si>
    <t xml:space="preserve">Reproduction: How Life Continues</t>
  </si>
  <si>
    <t xml:space="preserve">Patterns in Life: Diversity and Classification</t>
  </si>
  <si>
    <t xml:space="preserve">Earth as a System: Energy, Matter, and Life</t>
  </si>
  <si>
    <t xml:space="preserve">Social Sciences — chapter-wise NCF period allocation</t>
  </si>
  <si>
    <t xml:space="preserve">Chapter 1: Locating Places on the Earth</t>
  </si>
  <si>
    <t xml:space="preserve">Chapter 02: Oceans and Continents</t>
  </si>
  <si>
    <t xml:space="preserve">Chapter 3: Landforms and Life</t>
  </si>
  <si>
    <t xml:space="preserve">Chapter 4: Timeline and Sources of History</t>
  </si>
  <si>
    <t xml:space="preserve">Chapter 5: India, That Is Bharat</t>
  </si>
  <si>
    <t xml:space="preserve">Chapter 6: The Beginnings of Indian Civilisation</t>
  </si>
  <si>
    <t xml:space="preserve">Chapter 7: India's Cultural Roots</t>
  </si>
  <si>
    <t xml:space="preserve">Chapter 8: Unity in Diversity, or 'Many in the One'</t>
  </si>
  <si>
    <t xml:space="preserve">Chapter 9: Family and Community</t>
  </si>
  <si>
    <t xml:space="preserve">Chapter 10: Grassroots Democracy – Part 1 Governance</t>
  </si>
  <si>
    <t xml:space="preserve">Chapter 11: Grassroots Democracy – Part 2: Local Government in Rural Areas</t>
  </si>
  <si>
    <t xml:space="preserve">Grassroots Democracy – Part 3 Local Government in Urban Areas</t>
  </si>
  <si>
    <t xml:space="preserve">Chapter 13: The Value of Work</t>
  </si>
  <si>
    <t xml:space="preserve">Chapter 14: Economic Activities Around Us</t>
  </si>
  <si>
    <t xml:space="preserve">Geographical Diversity of India</t>
  </si>
  <si>
    <t xml:space="preserve">Understanding the Weather</t>
  </si>
  <si>
    <t xml:space="preserve">Climates of India</t>
  </si>
  <si>
    <t xml:space="preserve">New Beginnings - Cities and States</t>
  </si>
  <si>
    <t xml:space="preserve">The Rise of Empires</t>
  </si>
  <si>
    <t xml:space="preserve">The Age of Reorganisation</t>
  </si>
  <si>
    <t xml:space="preserve">The Gupta Era - An Age of Tireless Creativity</t>
  </si>
  <si>
    <t xml:space="preserve">How the Land Becomes Sacred</t>
  </si>
  <si>
    <t xml:space="preserve">From the Rulers to the Ruled - Types of Governments</t>
  </si>
  <si>
    <t xml:space="preserve">The Constitution of India - An Introduction</t>
  </si>
  <si>
    <t xml:space="preserve">From Barter to Money</t>
  </si>
  <si>
    <t xml:space="preserve">Understanding Markets</t>
  </si>
  <si>
    <t xml:space="preserve">Chapter 1: Natural Resources and Their Use</t>
  </si>
  <si>
    <t xml:space="preserve">Chapter 2: Reshaping India's Political Map</t>
  </si>
  <si>
    <t xml:space="preserve">Chapter 3: The Rise of the Marathas</t>
  </si>
  <si>
    <t xml:space="preserve">Chapter 4: The Colonial Era in India</t>
  </si>
  <si>
    <t xml:space="preserve">Chapter 5: Universal Franchise and India's Electoral System</t>
  </si>
  <si>
    <t xml:space="preserve">Chapter 6: The Parliamentary System: Legislature and Executive</t>
  </si>
  <si>
    <t xml:space="preserve">Chapter 7: Factors of Production</t>
  </si>
  <si>
    <t xml:space="preserve">Chapter 8: (Placeholder — awaiting NCERT release)</t>
  </si>
  <si>
    <t xml:space="preserve">The World Around Us — chapter-wise NCF period allocation</t>
  </si>
  <si>
    <t xml:space="preserve">Family and Friends</t>
  </si>
  <si>
    <t xml:space="preserve">Going to the Mela</t>
  </si>
  <si>
    <t xml:space="preserve">Celebrating Festivals</t>
  </si>
  <si>
    <t xml:space="preserve">Getting to Know Plants</t>
  </si>
  <si>
    <t xml:space="preserve">Plants and Animals Live Together</t>
  </si>
  <si>
    <t xml:space="preserve">Living in Harmony</t>
  </si>
  <si>
    <t xml:space="preserve">Water–A Precious Gift</t>
  </si>
  <si>
    <t xml:space="preserve">Food We Eat</t>
  </si>
  <si>
    <t xml:space="preserve">Staying Healthy and Happy</t>
  </si>
  <si>
    <t xml:space="preserve">This World of Things</t>
  </si>
  <si>
    <t xml:space="preserve">Making Things</t>
  </si>
  <si>
    <t xml:space="preserve">Taking Charge of Waste</t>
  </si>
  <si>
    <t xml:space="preserve">Living Together</t>
  </si>
  <si>
    <t xml:space="preserve">Exploring Our Neighbourhood</t>
  </si>
  <si>
    <t xml:space="preserve">Nature Trail</t>
  </si>
  <si>
    <t xml:space="preserve">Growing up with Nature</t>
  </si>
  <si>
    <t xml:space="preserve">Food for Health</t>
  </si>
  <si>
    <t xml:space="preserve">Happy and Healthy Living</t>
  </si>
  <si>
    <t xml:space="preserve">How Things Work</t>
  </si>
  <si>
    <t xml:space="preserve">How Things are Made</t>
  </si>
  <si>
    <t xml:space="preserve">Different Lands, Different Lives</t>
  </si>
  <si>
    <t xml:space="preserve">Our Sky</t>
  </si>
  <si>
    <t xml:space="preserve">Water — The Essence of Life</t>
  </si>
  <si>
    <t xml:space="preserve">Journey of a River</t>
  </si>
  <si>
    <t xml:space="preserve">The Mystery of Food</t>
  </si>
  <si>
    <t xml:space="preserve">Our School—A Happy Place</t>
  </si>
  <si>
    <t xml:space="preserve">Our Vibrant Country</t>
  </si>
  <si>
    <t xml:space="preserve">Some Unique Places</t>
  </si>
  <si>
    <t xml:space="preserve">Energy—How Things Work</t>
  </si>
  <si>
    <t xml:space="preserve">Clothes—How Things are Made</t>
  </si>
  <si>
    <t xml:space="preserve">Rhythms of Nature</t>
  </si>
  <si>
    <t xml:space="preserve">Earth—Our Shared Home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</si>
</sst>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DF2EA"/>
        <bgColor rgb="FFDCE8D8"/>
      </patternFill>
    </fill>
    <fill>
      <patternFill patternType="solid">
        <fgColor rgb="FFDCE8D8"/>
        <bgColor rgb="FFEDF2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DF2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6" min="6" style="1" width="20"/>
    <col collapsed="false" customWidth="true" hidden="false" outlineLevel="0" max="8" min="7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5" t="s">
        <v>11</v>
      </c>
      <c r="C5" s="5" t="s">
        <v>12</v>
      </c>
      <c r="D5" s="5" t="n">
        <f aca="false">'Annual Budget'!E5</f>
        <v>270</v>
      </c>
      <c r="E5" s="5" t="n">
        <v>12</v>
      </c>
      <c r="F5" s="5" t="n">
        <f aca="false">SUM(English!D5:D16)</f>
        <v>270</v>
      </c>
      <c r="G5" s="5" t="n">
        <f aca="false">MIN(English!D5:D16)</f>
        <v>17</v>
      </c>
      <c r="H5" s="5" t="n">
        <f aca="false">MAX(English!D5:D16)</f>
        <v>30</v>
      </c>
    </row>
    <row r="6" customFormat="false" ht="15" hidden="false" customHeight="true" outlineLevel="0" collapsed="false">
      <c r="A6" s="5" t="s">
        <v>10</v>
      </c>
      <c r="B6" s="5" t="s">
        <v>13</v>
      </c>
      <c r="C6" s="5" t="s">
        <v>12</v>
      </c>
      <c r="D6" s="5" t="n">
        <f aca="false">'Annual Budget'!E6</f>
        <v>270</v>
      </c>
      <c r="E6" s="5" t="n">
        <v>12</v>
      </c>
      <c r="F6" s="5" t="n">
        <f aca="false">SUM(English!D21:D32)</f>
        <v>270</v>
      </c>
      <c r="G6" s="5" t="n">
        <f aca="false">MIN(English!D21:D32)</f>
        <v>19</v>
      </c>
      <c r="H6" s="5" t="n">
        <f aca="false">MAX(English!D21:D32)</f>
        <v>29</v>
      </c>
    </row>
    <row r="7" customFormat="false" ht="15" hidden="false" customHeight="true" outlineLevel="0" collapsed="false">
      <c r="A7" s="5" t="s">
        <v>10</v>
      </c>
      <c r="B7" s="5" t="s">
        <v>14</v>
      </c>
      <c r="C7" s="5" t="s">
        <v>12</v>
      </c>
      <c r="D7" s="5" t="n">
        <f aca="false">'Annual Budget'!E7</f>
        <v>270</v>
      </c>
      <c r="E7" s="5" t="n">
        <v>10</v>
      </c>
      <c r="F7" s="5" t="n">
        <f aca="false">SUM(English!D37:D46)</f>
        <v>270</v>
      </c>
      <c r="G7" s="5" t="n">
        <f aca="false">MIN(English!D37:D46)</f>
        <v>22</v>
      </c>
      <c r="H7" s="5" t="n">
        <f aca="false">MAX(English!D37:D46)</f>
        <v>34</v>
      </c>
    </row>
    <row r="8" customFormat="false" ht="15" hidden="false" customHeight="true" outlineLevel="0" collapsed="false">
      <c r="A8" s="5" t="s">
        <v>10</v>
      </c>
      <c r="B8" s="5" t="s">
        <v>15</v>
      </c>
      <c r="C8" s="5" t="s">
        <v>16</v>
      </c>
      <c r="D8" s="5" t="n">
        <f aca="false">'Annual Budget'!E8</f>
        <v>157</v>
      </c>
      <c r="E8" s="5" t="n">
        <v>16</v>
      </c>
      <c r="F8" s="5" t="n">
        <f aca="false">SUM(English!D51:D66)</f>
        <v>157</v>
      </c>
      <c r="G8" s="5" t="n">
        <f aca="false">MIN(English!D51:D66)</f>
        <v>4</v>
      </c>
      <c r="H8" s="5" t="n">
        <f aca="false">MAX(English!D51:D66)</f>
        <v>14</v>
      </c>
    </row>
    <row r="9" customFormat="false" ht="15" hidden="false" customHeight="true" outlineLevel="0" collapsed="false">
      <c r="A9" s="5" t="s">
        <v>10</v>
      </c>
      <c r="B9" s="5" t="s">
        <v>17</v>
      </c>
      <c r="C9" s="5" t="s">
        <v>16</v>
      </c>
      <c r="D9" s="5" t="n">
        <f aca="false">'Annual Budget'!E9</f>
        <v>157</v>
      </c>
      <c r="E9" s="5" t="n">
        <v>15</v>
      </c>
      <c r="F9" s="5" t="n">
        <f aca="false">SUM(English!D71:D85)</f>
        <v>157</v>
      </c>
      <c r="G9" s="5" t="n">
        <f aca="false">MIN(English!D71:D85)</f>
        <v>6</v>
      </c>
      <c r="H9" s="5" t="n">
        <f aca="false">MAX(English!D71:D85)</f>
        <v>14</v>
      </c>
    </row>
    <row r="10" customFormat="false" ht="15" hidden="false" customHeight="true" outlineLevel="0" collapsed="false">
      <c r="A10" s="5" t="s">
        <v>10</v>
      </c>
      <c r="B10" s="5" t="s">
        <v>18</v>
      </c>
      <c r="C10" s="5" t="s">
        <v>16</v>
      </c>
      <c r="D10" s="5" t="n">
        <f aca="false">'Annual Budget'!E10</f>
        <v>157</v>
      </c>
      <c r="E10" s="5" t="n">
        <v>15</v>
      </c>
      <c r="F10" s="5" t="n">
        <f aca="false">SUM(English!D90:D104)</f>
        <v>157</v>
      </c>
      <c r="G10" s="5" t="n">
        <f aca="false">MIN(English!D90:D104)</f>
        <v>9</v>
      </c>
      <c r="H10" s="5" t="n">
        <f aca="false">MAX(English!D90:D104)</f>
        <v>12</v>
      </c>
    </row>
    <row r="11" customFormat="false" ht="15" hidden="false" customHeight="true" outlineLevel="0" collapsed="false">
      <c r="A11" s="5" t="s">
        <v>10</v>
      </c>
      <c r="B11" s="5" t="s">
        <v>19</v>
      </c>
      <c r="C11" s="5" t="s">
        <v>20</v>
      </c>
      <c r="D11" s="5" t="n">
        <f aca="false">'Annual Budget'!E11</f>
        <v>126</v>
      </c>
      <c r="E11" s="5" t="n">
        <v>8</v>
      </c>
      <c r="F11" s="5" t="n">
        <f aca="false">SUM(English!D109:D116)</f>
        <v>126</v>
      </c>
      <c r="G11" s="5" t="n">
        <f aca="false">MIN(English!D109:D116)</f>
        <v>12</v>
      </c>
      <c r="H11" s="5" t="n">
        <f aca="false">MAX(English!D109:D116)</f>
        <v>19</v>
      </c>
    </row>
    <row r="12" customFormat="false" ht="15" hidden="false" customHeight="true" outlineLevel="0" collapsed="false">
      <c r="A12" s="5" t="s">
        <v>21</v>
      </c>
      <c r="B12" s="5" t="s">
        <v>11</v>
      </c>
      <c r="C12" s="5" t="s">
        <v>12</v>
      </c>
      <c r="D12" s="5" t="n">
        <f aca="false">'Annual Budget'!E12</f>
        <v>277</v>
      </c>
      <c r="E12" s="5" t="n">
        <v>14</v>
      </c>
      <c r="F12" s="5" t="n">
        <f aca="false">SUM(Mathematics!D5:D18)</f>
        <v>277</v>
      </c>
      <c r="G12" s="5" t="n">
        <f aca="false">MIN(Mathematics!D5:D18)</f>
        <v>11</v>
      </c>
      <c r="H12" s="5" t="n">
        <f aca="false">MAX(Mathematics!D5:D18)</f>
        <v>25</v>
      </c>
    </row>
    <row r="13" customFormat="false" ht="15" hidden="false" customHeight="true" outlineLevel="0" collapsed="false">
      <c r="A13" s="5" t="s">
        <v>21</v>
      </c>
      <c r="B13" s="5" t="s">
        <v>13</v>
      </c>
      <c r="C13" s="5" t="s">
        <v>12</v>
      </c>
      <c r="D13" s="5" t="n">
        <f aca="false">'Annual Budget'!E13</f>
        <v>277</v>
      </c>
      <c r="E13" s="5" t="n">
        <v>14</v>
      </c>
      <c r="F13" s="5" t="n">
        <f aca="false">SUM(Mathematics!D23:D36)</f>
        <v>277</v>
      </c>
      <c r="G13" s="5" t="n">
        <f aca="false">MIN(Mathematics!D23:D36)</f>
        <v>11</v>
      </c>
      <c r="H13" s="5" t="n">
        <f aca="false">MAX(Mathematics!D23:D36)</f>
        <v>27</v>
      </c>
    </row>
    <row r="14" customFormat="false" ht="15" hidden="false" customHeight="true" outlineLevel="0" collapsed="false">
      <c r="A14" s="5" t="s">
        <v>21</v>
      </c>
      <c r="B14" s="5" t="s">
        <v>14</v>
      </c>
      <c r="C14" s="5" t="s">
        <v>12</v>
      </c>
      <c r="D14" s="5" t="n">
        <f aca="false">'Annual Budget'!E14</f>
        <v>277</v>
      </c>
      <c r="E14" s="5" t="n">
        <v>15</v>
      </c>
      <c r="F14" s="5" t="n">
        <f aca="false">SUM(Mathematics!D41:D55)</f>
        <v>277</v>
      </c>
      <c r="G14" s="5" t="n">
        <f aca="false">MIN(Mathematics!D41:D55)</f>
        <v>13</v>
      </c>
      <c r="H14" s="5" t="n">
        <f aca="false">MAX(Mathematics!D41:D55)</f>
        <v>29</v>
      </c>
    </row>
    <row r="15" customFormat="false" ht="15" hidden="false" customHeight="true" outlineLevel="0" collapsed="false">
      <c r="A15" s="5" t="s">
        <v>21</v>
      </c>
      <c r="B15" s="5" t="s">
        <v>15</v>
      </c>
      <c r="C15" s="5" t="s">
        <v>16</v>
      </c>
      <c r="D15" s="5" t="n">
        <f aca="false">'Annual Budget'!E15</f>
        <v>172</v>
      </c>
      <c r="E15" s="5" t="n">
        <v>10</v>
      </c>
      <c r="F15" s="5" t="n">
        <f aca="false">SUM(Mathematics!D60:D69)</f>
        <v>172</v>
      </c>
      <c r="G15" s="5" t="n">
        <f aca="false">MIN(Mathematics!D60:D69)</f>
        <v>8</v>
      </c>
      <c r="H15" s="5" t="n">
        <f aca="false">MAX(Mathematics!D60:D69)</f>
        <v>23</v>
      </c>
    </row>
    <row r="16" customFormat="false" ht="15" hidden="false" customHeight="true" outlineLevel="0" collapsed="false">
      <c r="A16" s="5" t="s">
        <v>21</v>
      </c>
      <c r="B16" s="5" t="s">
        <v>17</v>
      </c>
      <c r="C16" s="5" t="s">
        <v>16</v>
      </c>
      <c r="D16" s="5" t="n">
        <f aca="false">'Annual Budget'!E16</f>
        <v>172</v>
      </c>
      <c r="E16" s="5" t="n">
        <v>8</v>
      </c>
      <c r="F16" s="5" t="n">
        <f aca="false">SUM(Mathematics!D74:D81)</f>
        <v>172</v>
      </c>
      <c r="G16" s="5" t="n">
        <f aca="false">MIN(Mathematics!D74:D81)</f>
        <v>18</v>
      </c>
      <c r="H16" s="5" t="n">
        <f aca="false">MAX(Mathematics!D74:D81)</f>
        <v>31</v>
      </c>
    </row>
    <row r="17" customFormat="false" ht="15" hidden="false" customHeight="true" outlineLevel="0" collapsed="false">
      <c r="A17" s="5" t="s">
        <v>21</v>
      </c>
      <c r="B17" s="5" t="s">
        <v>18</v>
      </c>
      <c r="C17" s="5" t="s">
        <v>16</v>
      </c>
      <c r="D17" s="5" t="n">
        <f aca="false">'Annual Budget'!E17</f>
        <v>172</v>
      </c>
      <c r="E17" s="5" t="n">
        <v>14</v>
      </c>
      <c r="F17" s="5" t="n">
        <f aca="false">SUM(Mathematics!D86:D99)</f>
        <v>172</v>
      </c>
      <c r="G17" s="5" t="n">
        <f aca="false">MIN(Mathematics!D86:D99)</f>
        <v>5</v>
      </c>
      <c r="H17" s="5" t="n">
        <f aca="false">MAX(Mathematics!D86:D99)</f>
        <v>17</v>
      </c>
    </row>
    <row r="18" customFormat="false" ht="15" hidden="false" customHeight="true" outlineLevel="0" collapsed="false">
      <c r="A18" s="5" t="s">
        <v>21</v>
      </c>
      <c r="B18" s="5" t="s">
        <v>19</v>
      </c>
      <c r="C18" s="5" t="s">
        <v>20</v>
      </c>
      <c r="D18" s="5" t="n">
        <f aca="false">'Annual Budget'!E18</f>
        <v>162</v>
      </c>
      <c r="E18" s="5" t="n">
        <v>16</v>
      </c>
      <c r="F18" s="5" t="n">
        <f aca="false">SUM(Mathematics!D104:D119)</f>
        <v>162</v>
      </c>
      <c r="G18" s="5" t="n">
        <f aca="false">MIN(Mathematics!D104:D119)</f>
        <v>8</v>
      </c>
      <c r="H18" s="5" t="n">
        <f aca="false">MAX(Mathematics!D104:D119)</f>
        <v>15</v>
      </c>
      <c r="I18" s="1" t="s">
        <v>22</v>
      </c>
      <c r="J18" s="1" t="s">
        <v>23</v>
      </c>
    </row>
    <row r="19" customFormat="false" ht="15" hidden="false" customHeight="true" outlineLevel="0" collapsed="false">
      <c r="A19" s="5" t="s">
        <v>24</v>
      </c>
      <c r="B19" s="5" t="s">
        <v>15</v>
      </c>
      <c r="C19" s="5" t="s">
        <v>16</v>
      </c>
      <c r="D19" s="5" t="n">
        <f aca="false">'Annual Budget'!E19</f>
        <v>240</v>
      </c>
      <c r="E19" s="5" t="n">
        <v>12</v>
      </c>
      <c r="F19" s="5" t="n">
        <f aca="false">SUM(Science!D5:D16)</f>
        <v>240</v>
      </c>
      <c r="G19" s="5" t="n">
        <f aca="false">MIN(Science!D5:D16)</f>
        <v>5</v>
      </c>
      <c r="H19" s="5" t="n">
        <f aca="false">MAX(Science!D5:D16)</f>
        <v>28</v>
      </c>
    </row>
    <row r="20" customFormat="false" ht="15" hidden="false" customHeight="true" outlineLevel="0" collapsed="false">
      <c r="A20" s="5" t="s">
        <v>24</v>
      </c>
      <c r="B20" s="5" t="s">
        <v>17</v>
      </c>
      <c r="C20" s="5" t="s">
        <v>16</v>
      </c>
      <c r="D20" s="5" t="n">
        <f aca="false">'Annual Budget'!E20</f>
        <v>240</v>
      </c>
      <c r="E20" s="5" t="n">
        <v>12</v>
      </c>
      <c r="F20" s="5" t="n">
        <f aca="false">SUM(Science!D21:D32)</f>
        <v>240</v>
      </c>
      <c r="G20" s="5" t="n">
        <f aca="false">MIN(Science!D21:D32)</f>
        <v>10</v>
      </c>
      <c r="H20" s="5" t="n">
        <f aca="false">MAX(Science!D21:D32)</f>
        <v>26</v>
      </c>
    </row>
    <row r="21" customFormat="false" ht="15" hidden="false" customHeight="true" outlineLevel="0" collapsed="false">
      <c r="A21" s="5" t="s">
        <v>24</v>
      </c>
      <c r="B21" s="5" t="s">
        <v>18</v>
      </c>
      <c r="C21" s="5" t="s">
        <v>16</v>
      </c>
      <c r="D21" s="5" t="n">
        <f aca="false">'Annual Budget'!E21</f>
        <v>240</v>
      </c>
      <c r="E21" s="5" t="n">
        <v>13</v>
      </c>
      <c r="F21" s="5" t="n">
        <f aca="false">SUM(Science!D37:D49)</f>
        <v>240</v>
      </c>
      <c r="G21" s="5" t="n">
        <f aca="false">MIN(Science!D37:D49)</f>
        <v>8</v>
      </c>
      <c r="H21" s="5" t="n">
        <f aca="false">MAX(Science!D37:D49)</f>
        <v>24</v>
      </c>
    </row>
    <row r="22" customFormat="false" ht="15" hidden="false" customHeight="true" outlineLevel="0" collapsed="false">
      <c r="A22" s="5" t="s">
        <v>24</v>
      </c>
      <c r="B22" s="5" t="s">
        <v>19</v>
      </c>
      <c r="C22" s="5" t="s">
        <v>20</v>
      </c>
      <c r="D22" s="5" t="n">
        <f aca="false">'Annual Budget'!E22</f>
        <v>162</v>
      </c>
      <c r="E22" s="5" t="n">
        <v>13</v>
      </c>
      <c r="F22" s="5" t="n">
        <f aca="false">SUM(Science!D54:D66)</f>
        <v>162</v>
      </c>
      <c r="G22" s="5" t="n">
        <f aca="false">MIN(Science!D54:D66)</f>
        <v>5</v>
      </c>
      <c r="H22" s="5" t="n">
        <f aca="false">MAX(Science!D54:D66)</f>
        <v>17</v>
      </c>
    </row>
    <row r="23" customFormat="false" ht="15" hidden="false" customHeight="true" outlineLevel="0" collapsed="false">
      <c r="A23" s="5" t="s">
        <v>25</v>
      </c>
      <c r="B23" s="5" t="s">
        <v>15</v>
      </c>
      <c r="C23" s="5" t="s">
        <v>16</v>
      </c>
      <c r="D23" s="5" t="n">
        <f aca="false">'Annual Budget'!E23</f>
        <v>240</v>
      </c>
      <c r="E23" s="5" t="n">
        <v>14</v>
      </c>
      <c r="F23" s="5" t="n">
        <f aca="false">SUM('Social Sciences'!D5:D18)</f>
        <v>240</v>
      </c>
      <c r="G23" s="5" t="n">
        <f aca="false">MIN('Social Sciences'!D5:D18)</f>
        <v>11</v>
      </c>
      <c r="H23" s="5" t="n">
        <f aca="false">MAX('Social Sciences'!D5:D18)</f>
        <v>27</v>
      </c>
    </row>
    <row r="24" customFormat="false" ht="15" hidden="false" customHeight="true" outlineLevel="0" collapsed="false">
      <c r="A24" s="5" t="s">
        <v>25</v>
      </c>
      <c r="B24" s="5" t="s">
        <v>17</v>
      </c>
      <c r="C24" s="5" t="s">
        <v>16</v>
      </c>
      <c r="D24" s="5" t="n">
        <f aca="false">'Annual Budget'!E24</f>
        <v>240</v>
      </c>
      <c r="E24" s="5" t="n">
        <v>12</v>
      </c>
      <c r="F24" s="5" t="n">
        <f aca="false">SUM('Social Sciences'!D23:D34)</f>
        <v>240</v>
      </c>
      <c r="G24" s="5" t="n">
        <f aca="false">MIN('Social Sciences'!D23:D34)</f>
        <v>11</v>
      </c>
      <c r="H24" s="5" t="n">
        <f aca="false">MAX('Social Sciences'!D23:D34)</f>
        <v>24</v>
      </c>
    </row>
    <row r="25" customFormat="false" ht="15" hidden="false" customHeight="true" outlineLevel="0" collapsed="false">
      <c r="A25" s="5" t="s">
        <v>25</v>
      </c>
      <c r="B25" s="5" t="s">
        <v>18</v>
      </c>
      <c r="C25" s="5" t="s">
        <v>16</v>
      </c>
      <c r="D25" s="5" t="n">
        <f aca="false">'Annual Budget'!E25</f>
        <v>240</v>
      </c>
      <c r="E25" s="5" t="n">
        <v>14</v>
      </c>
      <c r="F25" s="5" t="n">
        <f aca="false">SUM('Social Sciences'!D39:D52)</f>
        <v>240</v>
      </c>
      <c r="G25" s="5" t="n">
        <f aca="false">MIN('Social Sciences'!D39:D52)</f>
        <v>13</v>
      </c>
      <c r="H25" s="5" t="n">
        <f aca="false">MAX('Social Sciences'!D39:D52)</f>
        <v>24</v>
      </c>
      <c r="I25" s="1" t="s">
        <v>22</v>
      </c>
      <c r="J25" s="1" t="s">
        <v>26</v>
      </c>
    </row>
    <row r="26" customFormat="false" ht="15" hidden="false" customHeight="true" outlineLevel="0" collapsed="false">
      <c r="A26" s="5" t="s">
        <v>27</v>
      </c>
      <c r="B26" s="5" t="s">
        <v>11</v>
      </c>
      <c r="C26" s="5" t="s">
        <v>12</v>
      </c>
      <c r="D26" s="5" t="n">
        <f aca="false">'Annual Budget'!E26</f>
        <v>300</v>
      </c>
      <c r="E26" s="5" t="n">
        <v>12</v>
      </c>
      <c r="F26" s="5" t="n">
        <f aca="false">SUM('The World Around Us'!D5:D16)</f>
        <v>300</v>
      </c>
      <c r="G26" s="5" t="n">
        <f aca="false">MIN('The World Around Us'!D5:D16)</f>
        <v>13</v>
      </c>
      <c r="H26" s="5" t="n">
        <f aca="false">MAX('The World Around Us'!D5:D16)</f>
        <v>35</v>
      </c>
    </row>
    <row r="27" customFormat="false" ht="15" hidden="false" customHeight="true" outlineLevel="0" collapsed="false">
      <c r="A27" s="5" t="s">
        <v>27</v>
      </c>
      <c r="B27" s="5" t="s">
        <v>13</v>
      </c>
      <c r="C27" s="5" t="s">
        <v>12</v>
      </c>
      <c r="D27" s="5" t="n">
        <f aca="false">'Annual Budget'!E27</f>
        <v>300</v>
      </c>
      <c r="E27" s="5" t="n">
        <v>10</v>
      </c>
      <c r="F27" s="5" t="n">
        <f aca="false">SUM('The World Around Us'!D21:D30)</f>
        <v>300</v>
      </c>
      <c r="G27" s="5" t="n">
        <f aca="false">MIN('The World Around Us'!D21:D30)</f>
        <v>22</v>
      </c>
      <c r="H27" s="5" t="n">
        <f aca="false">MAX('The World Around Us'!D21:D30)</f>
        <v>40</v>
      </c>
    </row>
    <row r="28" customFormat="false" ht="15" hidden="false" customHeight="true" outlineLevel="0" collapsed="false">
      <c r="A28" s="5" t="s">
        <v>27</v>
      </c>
      <c r="B28" s="5" t="s">
        <v>14</v>
      </c>
      <c r="C28" s="5" t="s">
        <v>12</v>
      </c>
      <c r="D28" s="5" t="n">
        <f aca="false">'Annual Budget'!E28</f>
        <v>300</v>
      </c>
      <c r="E28" s="5" t="n">
        <v>10</v>
      </c>
      <c r="F28" s="5" t="n">
        <f aca="false">SUM('The World Around Us'!D35:D44)</f>
        <v>300</v>
      </c>
      <c r="G28" s="5" t="n">
        <f aca="false">MIN('The World Around Us'!D35:D44)</f>
        <v>17</v>
      </c>
      <c r="H28" s="5" t="n">
        <f aca="false">MAX('The World Around Us'!D35:D44)</f>
        <v>41</v>
      </c>
    </row>
    <row r="30" customFormat="false" ht="15" hidden="false" customHeight="true" outlineLevel="0" collapsed="false">
      <c r="A30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5" min="4" style="0" width="24"/>
  </cols>
  <sheetData>
    <row r="1" customFormat="false" ht="16.15" hidden="false" customHeight="false" outlineLevel="0" collapsed="false">
      <c r="A1" s="6" t="s">
        <v>29</v>
      </c>
    </row>
    <row r="2" customFormat="false" ht="15" hidden="false" customHeight="false" outlineLevel="0" collapsed="false">
      <c r="A2" s="7" t="s">
        <v>30</v>
      </c>
    </row>
    <row r="4" customFormat="false" ht="15" hidden="false" customHeight="false" outlineLevel="0" collapsed="false">
      <c r="A4" s="8" t="s">
        <v>2</v>
      </c>
      <c r="B4" s="8" t="s">
        <v>3</v>
      </c>
      <c r="C4" s="8" t="s">
        <v>4</v>
      </c>
      <c r="D4" s="8" t="s">
        <v>31</v>
      </c>
      <c r="E4" s="8" t="s">
        <v>32</v>
      </c>
    </row>
    <row r="5" customFormat="false" ht="15" hidden="false" customHeight="false" outlineLevel="0" collapsed="false">
      <c r="A5" s="9" t="s">
        <v>10</v>
      </c>
      <c r="B5" s="9" t="s">
        <v>11</v>
      </c>
      <c r="C5" s="9" t="s">
        <v>12</v>
      </c>
      <c r="D5" s="9" t="n">
        <v>270</v>
      </c>
      <c r="E5" s="9" t="n">
        <f aca="false">D5</f>
        <v>270</v>
      </c>
    </row>
    <row r="6" customFormat="false" ht="15" hidden="false" customHeight="false" outlineLevel="0" collapsed="false">
      <c r="A6" s="9" t="s">
        <v>10</v>
      </c>
      <c r="B6" s="9" t="s">
        <v>13</v>
      </c>
      <c r="C6" s="9" t="s">
        <v>12</v>
      </c>
      <c r="D6" s="9" t="n">
        <v>270</v>
      </c>
      <c r="E6" s="9" t="n">
        <f aca="false">D6</f>
        <v>270</v>
      </c>
    </row>
    <row r="7" customFormat="false" ht="15" hidden="false" customHeight="false" outlineLevel="0" collapsed="false">
      <c r="A7" s="9" t="s">
        <v>10</v>
      </c>
      <c r="B7" s="9" t="s">
        <v>14</v>
      </c>
      <c r="C7" s="9" t="s">
        <v>12</v>
      </c>
      <c r="D7" s="9" t="n">
        <v>270</v>
      </c>
      <c r="E7" s="9" t="n">
        <f aca="false">D7</f>
        <v>270</v>
      </c>
    </row>
    <row r="8" customFormat="false" ht="15" hidden="false" customHeight="false" outlineLevel="0" collapsed="false">
      <c r="A8" s="9" t="s">
        <v>10</v>
      </c>
      <c r="B8" s="9" t="s">
        <v>15</v>
      </c>
      <c r="C8" s="9" t="s">
        <v>16</v>
      </c>
      <c r="D8" s="9" t="n">
        <v>157</v>
      </c>
      <c r="E8" s="9" t="n">
        <f aca="false">D8</f>
        <v>157</v>
      </c>
    </row>
    <row r="9" customFormat="false" ht="15" hidden="false" customHeight="false" outlineLevel="0" collapsed="false">
      <c r="A9" s="9" t="s">
        <v>10</v>
      </c>
      <c r="B9" s="9" t="s">
        <v>17</v>
      </c>
      <c r="C9" s="9" t="s">
        <v>16</v>
      </c>
      <c r="D9" s="9" t="n">
        <v>157</v>
      </c>
      <c r="E9" s="9" t="n">
        <f aca="false">D9</f>
        <v>157</v>
      </c>
    </row>
    <row r="10" customFormat="false" ht="15" hidden="false" customHeight="false" outlineLevel="0" collapsed="false">
      <c r="A10" s="9" t="s">
        <v>10</v>
      </c>
      <c r="B10" s="9" t="s">
        <v>18</v>
      </c>
      <c r="C10" s="9" t="s">
        <v>16</v>
      </c>
      <c r="D10" s="9" t="n">
        <v>157</v>
      </c>
      <c r="E10" s="9" t="n">
        <f aca="false">D10</f>
        <v>157</v>
      </c>
    </row>
    <row r="11" customFormat="false" ht="15" hidden="false" customHeight="false" outlineLevel="0" collapsed="false">
      <c r="A11" s="9" t="s">
        <v>10</v>
      </c>
      <c r="B11" s="9" t="s">
        <v>19</v>
      </c>
      <c r="C11" s="9" t="s">
        <v>20</v>
      </c>
      <c r="D11" s="9" t="n">
        <v>126</v>
      </c>
      <c r="E11" s="9" t="n">
        <f aca="false">D11</f>
        <v>126</v>
      </c>
    </row>
    <row r="12" customFormat="false" ht="15" hidden="false" customHeight="false" outlineLevel="0" collapsed="false">
      <c r="A12" s="9" t="s">
        <v>21</v>
      </c>
      <c r="B12" s="9" t="s">
        <v>11</v>
      </c>
      <c r="C12" s="9" t="s">
        <v>12</v>
      </c>
      <c r="D12" s="9" t="n">
        <v>277</v>
      </c>
      <c r="E12" s="9" t="n">
        <f aca="false">D12</f>
        <v>277</v>
      </c>
    </row>
    <row r="13" customFormat="false" ht="15" hidden="false" customHeight="false" outlineLevel="0" collapsed="false">
      <c r="A13" s="9" t="s">
        <v>21</v>
      </c>
      <c r="B13" s="9" t="s">
        <v>13</v>
      </c>
      <c r="C13" s="9" t="s">
        <v>12</v>
      </c>
      <c r="D13" s="9" t="n">
        <v>277</v>
      </c>
      <c r="E13" s="9" t="n">
        <f aca="false">D13</f>
        <v>277</v>
      </c>
    </row>
    <row r="14" customFormat="false" ht="15" hidden="false" customHeight="false" outlineLevel="0" collapsed="false">
      <c r="A14" s="9" t="s">
        <v>21</v>
      </c>
      <c r="B14" s="9" t="s">
        <v>14</v>
      </c>
      <c r="C14" s="9" t="s">
        <v>12</v>
      </c>
      <c r="D14" s="9" t="n">
        <v>277</v>
      </c>
      <c r="E14" s="9" t="n">
        <f aca="false">D14</f>
        <v>277</v>
      </c>
    </row>
    <row r="15" customFormat="false" ht="15" hidden="false" customHeight="false" outlineLevel="0" collapsed="false">
      <c r="A15" s="9" t="s">
        <v>21</v>
      </c>
      <c r="B15" s="9" t="s">
        <v>15</v>
      </c>
      <c r="C15" s="9" t="s">
        <v>16</v>
      </c>
      <c r="D15" s="9" t="n">
        <v>172</v>
      </c>
      <c r="E15" s="9" t="n">
        <f aca="false">D15</f>
        <v>172</v>
      </c>
    </row>
    <row r="16" customFormat="false" ht="15" hidden="false" customHeight="false" outlineLevel="0" collapsed="false">
      <c r="A16" s="9" t="s">
        <v>21</v>
      </c>
      <c r="B16" s="9" t="s">
        <v>17</v>
      </c>
      <c r="C16" s="9" t="s">
        <v>16</v>
      </c>
      <c r="D16" s="9" t="n">
        <v>172</v>
      </c>
      <c r="E16" s="9" t="n">
        <f aca="false">D16</f>
        <v>172</v>
      </c>
    </row>
    <row r="17" customFormat="false" ht="15" hidden="false" customHeight="false" outlineLevel="0" collapsed="false">
      <c r="A17" s="9" t="s">
        <v>21</v>
      </c>
      <c r="B17" s="9" t="s">
        <v>18</v>
      </c>
      <c r="C17" s="9" t="s">
        <v>16</v>
      </c>
      <c r="D17" s="9" t="n">
        <v>172</v>
      </c>
      <c r="E17" s="9" t="n">
        <f aca="false">D17</f>
        <v>172</v>
      </c>
    </row>
    <row r="18" customFormat="false" ht="15" hidden="false" customHeight="false" outlineLevel="0" collapsed="false">
      <c r="A18" s="9" t="s">
        <v>21</v>
      </c>
      <c r="B18" s="9" t="s">
        <v>19</v>
      </c>
      <c r="C18" s="9" t="s">
        <v>20</v>
      </c>
      <c r="D18" s="9" t="n">
        <v>162</v>
      </c>
      <c r="E18" s="9" t="n">
        <f aca="false">D18</f>
        <v>162</v>
      </c>
    </row>
    <row r="19" customFormat="false" ht="15" hidden="false" customHeight="false" outlineLevel="0" collapsed="false">
      <c r="A19" s="9" t="s">
        <v>24</v>
      </c>
      <c r="B19" s="9" t="s">
        <v>15</v>
      </c>
      <c r="C19" s="9" t="s">
        <v>16</v>
      </c>
      <c r="D19" s="9" t="n">
        <v>240</v>
      </c>
      <c r="E19" s="9" t="n">
        <f aca="false">D19</f>
        <v>240</v>
      </c>
    </row>
    <row r="20" customFormat="false" ht="15" hidden="false" customHeight="false" outlineLevel="0" collapsed="false">
      <c r="A20" s="9" t="s">
        <v>24</v>
      </c>
      <c r="B20" s="9" t="s">
        <v>17</v>
      </c>
      <c r="C20" s="9" t="s">
        <v>16</v>
      </c>
      <c r="D20" s="9" t="n">
        <v>240</v>
      </c>
      <c r="E20" s="9" t="n">
        <f aca="false">D20</f>
        <v>240</v>
      </c>
    </row>
    <row r="21" customFormat="false" ht="15" hidden="false" customHeight="false" outlineLevel="0" collapsed="false">
      <c r="A21" s="9" t="s">
        <v>24</v>
      </c>
      <c r="B21" s="9" t="s">
        <v>18</v>
      </c>
      <c r="C21" s="9" t="s">
        <v>16</v>
      </c>
      <c r="D21" s="9" t="n">
        <v>240</v>
      </c>
      <c r="E21" s="9" t="n">
        <f aca="false">D21</f>
        <v>240</v>
      </c>
    </row>
    <row r="22" customFormat="false" ht="15" hidden="false" customHeight="false" outlineLevel="0" collapsed="false">
      <c r="A22" s="9" t="s">
        <v>24</v>
      </c>
      <c r="B22" s="9" t="s">
        <v>19</v>
      </c>
      <c r="C22" s="9" t="s">
        <v>20</v>
      </c>
      <c r="D22" s="9" t="n">
        <v>162</v>
      </c>
      <c r="E22" s="9" t="n">
        <f aca="false">D22</f>
        <v>162</v>
      </c>
    </row>
    <row r="23" customFormat="false" ht="15" hidden="false" customHeight="false" outlineLevel="0" collapsed="false">
      <c r="A23" s="9" t="s">
        <v>25</v>
      </c>
      <c r="B23" s="9" t="s">
        <v>15</v>
      </c>
      <c r="C23" s="9" t="s">
        <v>16</v>
      </c>
      <c r="D23" s="9" t="n">
        <v>240</v>
      </c>
      <c r="E23" s="9" t="n">
        <f aca="false">D23</f>
        <v>240</v>
      </c>
    </row>
    <row r="24" customFormat="false" ht="15" hidden="false" customHeight="false" outlineLevel="0" collapsed="false">
      <c r="A24" s="9" t="s">
        <v>25</v>
      </c>
      <c r="B24" s="9" t="s">
        <v>17</v>
      </c>
      <c r="C24" s="9" t="s">
        <v>16</v>
      </c>
      <c r="D24" s="9" t="n">
        <v>240</v>
      </c>
      <c r="E24" s="9" t="n">
        <f aca="false">D24</f>
        <v>240</v>
      </c>
    </row>
    <row r="25" customFormat="false" ht="15" hidden="false" customHeight="false" outlineLevel="0" collapsed="false">
      <c r="A25" s="9" t="s">
        <v>25</v>
      </c>
      <c r="B25" s="9" t="s">
        <v>18</v>
      </c>
      <c r="C25" s="9" t="s">
        <v>16</v>
      </c>
      <c r="D25" s="9" t="n">
        <v>240</v>
      </c>
      <c r="E25" s="9" t="n">
        <f aca="false">D25</f>
        <v>240</v>
      </c>
    </row>
    <row r="26" customFormat="false" ht="15" hidden="false" customHeight="false" outlineLevel="0" collapsed="false">
      <c r="A26" s="9" t="s">
        <v>27</v>
      </c>
      <c r="B26" s="9" t="s">
        <v>11</v>
      </c>
      <c r="C26" s="9" t="s">
        <v>12</v>
      </c>
      <c r="D26" s="9" t="n">
        <v>300</v>
      </c>
      <c r="E26" s="9" t="n">
        <f aca="false">D26</f>
        <v>300</v>
      </c>
    </row>
    <row r="27" customFormat="false" ht="15" hidden="false" customHeight="false" outlineLevel="0" collapsed="false">
      <c r="A27" s="9" t="s">
        <v>27</v>
      </c>
      <c r="B27" s="9" t="s">
        <v>13</v>
      </c>
      <c r="C27" s="9" t="s">
        <v>12</v>
      </c>
      <c r="D27" s="9" t="n">
        <v>300</v>
      </c>
      <c r="E27" s="9" t="n">
        <f aca="false">D27</f>
        <v>300</v>
      </c>
    </row>
    <row r="28" customFormat="false" ht="15" hidden="false" customHeight="false" outlineLevel="0" collapsed="false">
      <c r="A28" s="9" t="s">
        <v>27</v>
      </c>
      <c r="B28" s="9" t="s">
        <v>14</v>
      </c>
      <c r="C28" s="9" t="s">
        <v>12</v>
      </c>
      <c r="D28" s="9" t="n">
        <v>300</v>
      </c>
      <c r="E28" s="9" t="n">
        <f aca="false">D28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33</v>
      </c>
    </row>
    <row r="3" customFormat="false" ht="15" hidden="false" customHeight="true" outlineLevel="0" collapsed="false">
      <c r="A3" s="10" t="str">
        <f aca="false">"Grade III   (stage: preparatory, NCF annual total: "&amp;'Annual Budget'!$E$5&amp;" periods)"</f>
        <v>Grade III   (stage: preparatory, NCF annual total: 270 periods)</v>
      </c>
      <c r="B3" s="11"/>
      <c r="C3" s="11"/>
      <c r="D3" s="11"/>
      <c r="E3" s="11"/>
    </row>
    <row r="4" customFormat="false" ht="1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</row>
    <row r="5" customFormat="false" ht="15" hidden="false" customHeight="true" outlineLevel="0" collapsed="false">
      <c r="A5" s="13" t="n">
        <v>1</v>
      </c>
      <c r="B5" s="13" t="s">
        <v>38</v>
      </c>
      <c r="C5" s="14" t="n">
        <v>6.5</v>
      </c>
      <c r="D5" s="13" t="n">
        <v>17</v>
      </c>
    </row>
    <row r="6" customFormat="false" ht="15" hidden="false" customHeight="true" outlineLevel="0" collapsed="false">
      <c r="A6" s="13" t="n">
        <v>2</v>
      </c>
      <c r="B6" s="13" t="s">
        <v>39</v>
      </c>
      <c r="C6" s="14" t="n">
        <v>11.5</v>
      </c>
      <c r="D6" s="13" t="n">
        <v>30</v>
      </c>
    </row>
    <row r="7" customFormat="false" ht="15" hidden="false" customHeight="true" outlineLevel="0" collapsed="false">
      <c r="A7" s="13" t="n">
        <v>3</v>
      </c>
      <c r="B7" s="13" t="s">
        <v>40</v>
      </c>
      <c r="C7" s="14" t="n">
        <v>8</v>
      </c>
      <c r="D7" s="13" t="n">
        <v>21</v>
      </c>
    </row>
    <row r="8" customFormat="false" ht="15" hidden="false" customHeight="true" outlineLevel="0" collapsed="false">
      <c r="A8" s="13" t="n">
        <v>4</v>
      </c>
      <c r="B8" s="13" t="s">
        <v>41</v>
      </c>
      <c r="C8" s="14" t="n">
        <v>6.5</v>
      </c>
      <c r="D8" s="13" t="n">
        <v>17</v>
      </c>
    </row>
    <row r="9" customFormat="false" ht="15" hidden="false" customHeight="true" outlineLevel="0" collapsed="false">
      <c r="A9" s="13" t="n">
        <v>5</v>
      </c>
      <c r="B9" s="13" t="s">
        <v>42</v>
      </c>
      <c r="C9" s="14" t="n">
        <v>10</v>
      </c>
      <c r="D9" s="13" t="n">
        <v>26</v>
      </c>
    </row>
    <row r="10" customFormat="false" ht="15" hidden="false" customHeight="true" outlineLevel="0" collapsed="false">
      <c r="A10" s="13" t="n">
        <v>6</v>
      </c>
      <c r="B10" s="13" t="s">
        <v>43</v>
      </c>
      <c r="C10" s="14" t="n">
        <v>8.5</v>
      </c>
      <c r="D10" s="13" t="n">
        <v>22</v>
      </c>
    </row>
    <row r="11" customFormat="false" ht="15" hidden="false" customHeight="true" outlineLevel="0" collapsed="false">
      <c r="A11" s="13" t="n">
        <v>7</v>
      </c>
      <c r="B11" s="13" t="s">
        <v>44</v>
      </c>
      <c r="C11" s="14" t="n">
        <v>9.5</v>
      </c>
      <c r="D11" s="13" t="n">
        <v>24</v>
      </c>
    </row>
    <row r="12" customFormat="false" ht="15" hidden="false" customHeight="true" outlineLevel="0" collapsed="false">
      <c r="A12" s="13" t="n">
        <v>8</v>
      </c>
      <c r="B12" s="13" t="s">
        <v>45</v>
      </c>
      <c r="C12" s="14" t="n">
        <v>8.5</v>
      </c>
      <c r="D12" s="13" t="n">
        <v>22</v>
      </c>
    </row>
    <row r="13" customFormat="false" ht="15" hidden="false" customHeight="true" outlineLevel="0" collapsed="false">
      <c r="A13" s="13" t="n">
        <v>9</v>
      </c>
      <c r="B13" s="13" t="s">
        <v>46</v>
      </c>
      <c r="C13" s="14" t="n">
        <v>10</v>
      </c>
      <c r="D13" s="13" t="n">
        <v>26</v>
      </c>
    </row>
    <row r="14" customFormat="false" ht="15" hidden="false" customHeight="true" outlineLevel="0" collapsed="false">
      <c r="A14" s="13" t="n">
        <v>10</v>
      </c>
      <c r="B14" s="13" t="s">
        <v>47</v>
      </c>
      <c r="C14" s="14" t="n">
        <v>6.5</v>
      </c>
      <c r="D14" s="13" t="n">
        <v>17</v>
      </c>
    </row>
    <row r="15" customFormat="false" ht="15" hidden="false" customHeight="true" outlineLevel="0" collapsed="false">
      <c r="A15" s="13" t="n">
        <v>11</v>
      </c>
      <c r="B15" s="13" t="s">
        <v>48</v>
      </c>
      <c r="C15" s="14" t="n">
        <v>8.5</v>
      </c>
      <c r="D15" s="13" t="n">
        <v>22</v>
      </c>
    </row>
    <row r="16" customFormat="false" ht="15" hidden="false" customHeight="true" outlineLevel="0" collapsed="false">
      <c r="A16" s="13" t="n">
        <v>12</v>
      </c>
      <c r="B16" s="13" t="s">
        <v>49</v>
      </c>
      <c r="C16" s="14" t="n">
        <v>10</v>
      </c>
      <c r="D16" s="13" t="n">
        <v>26</v>
      </c>
    </row>
    <row r="17" customFormat="false" ht="15" hidden="false" customHeight="true" outlineLevel="0" collapsed="false">
      <c r="A17" s="15"/>
      <c r="B17" s="16" t="s">
        <v>50</v>
      </c>
      <c r="C17" s="17" t="n">
        <f aca="false">SUM(C5:C16)</f>
        <v>104</v>
      </c>
      <c r="D17" s="16" t="n">
        <f aca="false">SUM(D5:D16)</f>
        <v>270</v>
      </c>
    </row>
    <row r="19" customFormat="false" ht="15" hidden="false" customHeight="true" outlineLevel="0" collapsed="false">
      <c r="A19" s="10" t="str">
        <f aca="false">"Grade IV   (stage: preparatory, NCF annual total: "&amp;'Annual Budget'!$E$6&amp;" periods)"</f>
        <v>Grade IV   (stage: preparatory, NCF annual total: 270 periods)</v>
      </c>
      <c r="B19" s="11"/>
      <c r="C19" s="11"/>
      <c r="D19" s="11"/>
      <c r="E19" s="11"/>
    </row>
    <row r="20" customFormat="false" ht="15" hidden="false" customHeight="true" outlineLevel="0" collapsed="false">
      <c r="A20" s="12" t="s">
        <v>34</v>
      </c>
      <c r="B20" s="12" t="s">
        <v>35</v>
      </c>
      <c r="C20" s="12" t="s">
        <v>36</v>
      </c>
      <c r="D20" s="12" t="s">
        <v>37</v>
      </c>
    </row>
    <row r="21" customFormat="false" ht="15" hidden="false" customHeight="true" outlineLevel="0" collapsed="false">
      <c r="A21" s="13" t="n">
        <v>1</v>
      </c>
      <c r="B21" s="13" t="s">
        <v>51</v>
      </c>
      <c r="C21" s="14" t="n">
        <v>10</v>
      </c>
      <c r="D21" s="13" t="n">
        <v>23</v>
      </c>
    </row>
    <row r="22" customFormat="false" ht="15" hidden="false" customHeight="true" outlineLevel="0" collapsed="false">
      <c r="A22" s="13" t="n">
        <v>2</v>
      </c>
      <c r="B22" s="13" t="s">
        <v>52</v>
      </c>
      <c r="C22" s="14" t="n">
        <v>11.5</v>
      </c>
      <c r="D22" s="13" t="n">
        <v>26</v>
      </c>
    </row>
    <row r="23" customFormat="false" ht="15" hidden="false" customHeight="true" outlineLevel="0" collapsed="false">
      <c r="A23" s="13" t="n">
        <v>3</v>
      </c>
      <c r="B23" s="13" t="s">
        <v>53</v>
      </c>
      <c r="C23" s="14" t="n">
        <v>9.5</v>
      </c>
      <c r="D23" s="13" t="n">
        <v>21</v>
      </c>
    </row>
    <row r="24" customFormat="false" ht="15" hidden="false" customHeight="true" outlineLevel="0" collapsed="false">
      <c r="A24" s="13" t="n">
        <v>4</v>
      </c>
      <c r="B24" s="13" t="s">
        <v>54</v>
      </c>
      <c r="C24" s="14" t="n">
        <v>8.5</v>
      </c>
      <c r="D24" s="13" t="n">
        <v>19</v>
      </c>
    </row>
    <row r="25" customFormat="false" ht="15" hidden="false" customHeight="true" outlineLevel="0" collapsed="false">
      <c r="A25" s="13" t="n">
        <v>5</v>
      </c>
      <c r="B25" s="13" t="s">
        <v>55</v>
      </c>
      <c r="C25" s="14" t="n">
        <v>8.5</v>
      </c>
      <c r="D25" s="13" t="n">
        <v>19</v>
      </c>
    </row>
    <row r="26" customFormat="false" ht="15" hidden="false" customHeight="true" outlineLevel="0" collapsed="false">
      <c r="A26" s="13" t="n">
        <v>6</v>
      </c>
      <c r="B26" s="13" t="s">
        <v>56</v>
      </c>
      <c r="C26" s="14" t="n">
        <v>10</v>
      </c>
      <c r="D26" s="13" t="n">
        <v>22</v>
      </c>
    </row>
    <row r="27" customFormat="false" ht="15" hidden="false" customHeight="true" outlineLevel="0" collapsed="false">
      <c r="A27" s="13" t="n">
        <v>7</v>
      </c>
      <c r="B27" s="13" t="s">
        <v>57</v>
      </c>
      <c r="C27" s="14" t="n">
        <v>10</v>
      </c>
      <c r="D27" s="13" t="n">
        <v>22</v>
      </c>
    </row>
    <row r="28" customFormat="false" ht="15" hidden="false" customHeight="true" outlineLevel="0" collapsed="false">
      <c r="A28" s="13" t="n">
        <v>8</v>
      </c>
      <c r="B28" s="13" t="s">
        <v>58</v>
      </c>
      <c r="C28" s="14" t="n">
        <v>13</v>
      </c>
      <c r="D28" s="13" t="n">
        <v>29</v>
      </c>
    </row>
    <row r="29" customFormat="false" ht="15" hidden="false" customHeight="true" outlineLevel="0" collapsed="false">
      <c r="A29" s="13" t="n">
        <v>9</v>
      </c>
      <c r="B29" s="13" t="s">
        <v>59</v>
      </c>
      <c r="C29" s="14" t="n">
        <v>8.5</v>
      </c>
      <c r="D29" s="13" t="n">
        <v>19</v>
      </c>
    </row>
    <row r="30" customFormat="false" ht="15" hidden="false" customHeight="true" outlineLevel="0" collapsed="false">
      <c r="A30" s="13" t="n">
        <v>10</v>
      </c>
      <c r="B30" s="13" t="s">
        <v>60</v>
      </c>
      <c r="C30" s="14" t="n">
        <v>10</v>
      </c>
      <c r="D30" s="13" t="n">
        <v>22</v>
      </c>
    </row>
    <row r="31" customFormat="false" ht="15" hidden="false" customHeight="true" outlineLevel="0" collapsed="false">
      <c r="A31" s="13" t="n">
        <v>11</v>
      </c>
      <c r="B31" s="13" t="s">
        <v>61</v>
      </c>
      <c r="C31" s="14" t="n">
        <v>13</v>
      </c>
      <c r="D31" s="13" t="n">
        <v>29</v>
      </c>
    </row>
    <row r="32" customFormat="false" ht="15" hidden="false" customHeight="true" outlineLevel="0" collapsed="false">
      <c r="A32" s="13" t="n">
        <v>12</v>
      </c>
      <c r="B32" s="13" t="s">
        <v>62</v>
      </c>
      <c r="C32" s="14" t="n">
        <v>8.5</v>
      </c>
      <c r="D32" s="13" t="n">
        <v>19</v>
      </c>
    </row>
    <row r="33" customFormat="false" ht="15" hidden="false" customHeight="true" outlineLevel="0" collapsed="false">
      <c r="A33" s="15"/>
      <c r="B33" s="16" t="s">
        <v>50</v>
      </c>
      <c r="C33" s="17" t="n">
        <f aca="false">SUM(C21:C32)</f>
        <v>121</v>
      </c>
      <c r="D33" s="16" t="n">
        <f aca="false">SUM(D21:D32)</f>
        <v>270</v>
      </c>
    </row>
    <row r="35" customFormat="false" ht="15" hidden="false" customHeight="true" outlineLevel="0" collapsed="false">
      <c r="A35" s="10" t="str">
        <f aca="false">"Grade V   (stage: preparatory, NCF annual total: "&amp;'Annual Budget'!$E$7&amp;" periods)"</f>
        <v>Grade V   (stage: preparatory, NCF annual total: 270 periods)</v>
      </c>
      <c r="B35" s="11"/>
      <c r="C35" s="11"/>
      <c r="D35" s="11"/>
      <c r="E35" s="11"/>
    </row>
    <row r="36" customFormat="false" ht="15" hidden="false" customHeight="true" outlineLevel="0" collapsed="false">
      <c r="A36" s="12" t="s">
        <v>34</v>
      </c>
      <c r="B36" s="12" t="s">
        <v>35</v>
      </c>
      <c r="C36" s="12" t="s">
        <v>36</v>
      </c>
      <c r="D36" s="12" t="s">
        <v>37</v>
      </c>
    </row>
    <row r="37" customFormat="false" ht="15" hidden="false" customHeight="true" outlineLevel="0" collapsed="false">
      <c r="A37" s="13" t="n">
        <v>1</v>
      </c>
      <c r="B37" s="13" t="s">
        <v>63</v>
      </c>
      <c r="C37" s="14" t="n">
        <v>8.5</v>
      </c>
      <c r="D37" s="13" t="n">
        <v>23</v>
      </c>
    </row>
    <row r="38" customFormat="false" ht="15" hidden="false" customHeight="true" outlineLevel="0" collapsed="false">
      <c r="A38" s="13" t="n">
        <v>2</v>
      </c>
      <c r="B38" s="13" t="s">
        <v>64</v>
      </c>
      <c r="C38" s="14" t="n">
        <v>11.5</v>
      </c>
      <c r="D38" s="13" t="n">
        <v>30</v>
      </c>
    </row>
    <row r="39" customFormat="false" ht="15" hidden="false" customHeight="true" outlineLevel="0" collapsed="false">
      <c r="A39" s="13" t="n">
        <v>3</v>
      </c>
      <c r="B39" s="13" t="s">
        <v>65</v>
      </c>
      <c r="C39" s="14" t="n">
        <v>11.5</v>
      </c>
      <c r="D39" s="13" t="n">
        <v>30</v>
      </c>
    </row>
    <row r="40" customFormat="false" ht="15" hidden="false" customHeight="true" outlineLevel="0" collapsed="false">
      <c r="A40" s="13" t="n">
        <v>4</v>
      </c>
      <c r="B40" s="13" t="s">
        <v>66</v>
      </c>
      <c r="C40" s="14" t="n">
        <v>8.5</v>
      </c>
      <c r="D40" s="13" t="n">
        <v>23</v>
      </c>
    </row>
    <row r="41" customFormat="false" ht="15" hidden="false" customHeight="true" outlineLevel="0" collapsed="false">
      <c r="A41" s="13" t="n">
        <v>5</v>
      </c>
      <c r="B41" s="13" t="s">
        <v>67</v>
      </c>
      <c r="C41" s="14" t="n">
        <v>8.5</v>
      </c>
      <c r="D41" s="13" t="n">
        <v>22</v>
      </c>
    </row>
    <row r="42" customFormat="false" ht="15" hidden="false" customHeight="true" outlineLevel="0" collapsed="false">
      <c r="A42" s="13" t="n">
        <v>6</v>
      </c>
      <c r="B42" s="13" t="s">
        <v>68</v>
      </c>
      <c r="C42" s="14" t="n">
        <v>10</v>
      </c>
      <c r="D42" s="13" t="n">
        <v>26</v>
      </c>
    </row>
    <row r="43" customFormat="false" ht="15" hidden="false" customHeight="true" outlineLevel="0" collapsed="false">
      <c r="A43" s="13" t="n">
        <v>7</v>
      </c>
      <c r="B43" s="13" t="s">
        <v>69</v>
      </c>
      <c r="C43" s="14" t="n">
        <v>13</v>
      </c>
      <c r="D43" s="13" t="n">
        <v>34</v>
      </c>
    </row>
    <row r="44" customFormat="false" ht="15" hidden="false" customHeight="true" outlineLevel="0" collapsed="false">
      <c r="A44" s="13" t="n">
        <v>8</v>
      </c>
      <c r="B44" s="13" t="s">
        <v>70</v>
      </c>
      <c r="C44" s="14" t="n">
        <v>10</v>
      </c>
      <c r="D44" s="13" t="n">
        <v>26</v>
      </c>
    </row>
    <row r="45" customFormat="false" ht="15" hidden="false" customHeight="true" outlineLevel="0" collapsed="false">
      <c r="A45" s="13" t="n">
        <v>9</v>
      </c>
      <c r="B45" s="13" t="s">
        <v>71</v>
      </c>
      <c r="C45" s="14" t="n">
        <v>13</v>
      </c>
      <c r="D45" s="13" t="n">
        <v>34</v>
      </c>
    </row>
    <row r="46" customFormat="false" ht="15" hidden="false" customHeight="true" outlineLevel="0" collapsed="false">
      <c r="A46" s="13" t="n">
        <v>10</v>
      </c>
      <c r="B46" s="13" t="s">
        <v>72</v>
      </c>
      <c r="C46" s="14" t="n">
        <v>8.5</v>
      </c>
      <c r="D46" s="13" t="n">
        <v>22</v>
      </c>
    </row>
    <row r="47" customFormat="false" ht="15" hidden="false" customHeight="true" outlineLevel="0" collapsed="false">
      <c r="A47" s="15"/>
      <c r="B47" s="16" t="s">
        <v>50</v>
      </c>
      <c r="C47" s="17" t="n">
        <f aca="false">SUM(C37:C46)</f>
        <v>103</v>
      </c>
      <c r="D47" s="16" t="n">
        <f aca="false">SUM(D37:D46)</f>
        <v>270</v>
      </c>
    </row>
    <row r="49" customFormat="false" ht="15" hidden="false" customHeight="true" outlineLevel="0" collapsed="false">
      <c r="A49" s="10" t="str">
        <f aca="false">"Grade VI   (stage: middle, NCF annual total: "&amp;'Annual Budget'!$E$8&amp;" periods)"</f>
        <v>Grade VI   (stage: middle, NCF annual total: 157 periods)</v>
      </c>
      <c r="B49" s="11"/>
      <c r="C49" s="11"/>
      <c r="D49" s="11"/>
      <c r="E49" s="11"/>
    </row>
    <row r="50" customFormat="false" ht="15" hidden="false" customHeight="true" outlineLevel="0" collapsed="false">
      <c r="A50" s="12" t="s">
        <v>34</v>
      </c>
      <c r="B50" s="12" t="s">
        <v>35</v>
      </c>
      <c r="C50" s="12" t="s">
        <v>36</v>
      </c>
      <c r="D50" s="12" t="s">
        <v>37</v>
      </c>
    </row>
    <row r="51" customFormat="false" ht="15" hidden="false" customHeight="true" outlineLevel="0" collapsed="false">
      <c r="A51" s="13" t="n">
        <v>1</v>
      </c>
      <c r="B51" s="13" t="s">
        <v>73</v>
      </c>
      <c r="C51" s="14" t="n">
        <v>10.5</v>
      </c>
      <c r="D51" s="13" t="n">
        <v>9</v>
      </c>
    </row>
    <row r="52" customFormat="false" ht="15" hidden="false" customHeight="true" outlineLevel="0" collapsed="false">
      <c r="A52" s="13" t="n">
        <v>2</v>
      </c>
      <c r="B52" s="13" t="s">
        <v>74</v>
      </c>
      <c r="C52" s="14" t="n">
        <v>7.5</v>
      </c>
      <c r="D52" s="13" t="n">
        <v>6</v>
      </c>
    </row>
    <row r="53" customFormat="false" ht="15" hidden="false" customHeight="true" outlineLevel="0" collapsed="false">
      <c r="A53" s="13" t="n">
        <v>3</v>
      </c>
      <c r="B53" s="13" t="s">
        <v>75</v>
      </c>
      <c r="C53" s="14" t="n">
        <v>13</v>
      </c>
      <c r="D53" s="13" t="n">
        <v>11</v>
      </c>
    </row>
    <row r="54" customFormat="false" ht="15" hidden="false" customHeight="true" outlineLevel="0" collapsed="false">
      <c r="A54" s="13" t="n">
        <v>4</v>
      </c>
      <c r="B54" s="13" t="s">
        <v>76</v>
      </c>
      <c r="C54" s="14" t="n">
        <v>14</v>
      </c>
      <c r="D54" s="13" t="n">
        <v>12</v>
      </c>
    </row>
    <row r="55" customFormat="false" ht="15" hidden="false" customHeight="true" outlineLevel="0" collapsed="false">
      <c r="A55" s="13" t="n">
        <v>5</v>
      </c>
      <c r="B55" s="13" t="s">
        <v>77</v>
      </c>
      <c r="C55" s="14" t="n">
        <v>14</v>
      </c>
      <c r="D55" s="13" t="n">
        <v>12</v>
      </c>
    </row>
    <row r="56" customFormat="false" ht="15" hidden="false" customHeight="true" outlineLevel="0" collapsed="false">
      <c r="A56" s="13" t="n">
        <v>6</v>
      </c>
      <c r="B56" s="13" t="s">
        <v>78</v>
      </c>
      <c r="C56" s="14" t="n">
        <v>15.5</v>
      </c>
      <c r="D56" s="13" t="n">
        <v>13</v>
      </c>
    </row>
    <row r="57" customFormat="false" ht="15" hidden="false" customHeight="true" outlineLevel="0" collapsed="false">
      <c r="A57" s="13" t="n">
        <v>7</v>
      </c>
      <c r="B57" s="13" t="s">
        <v>79</v>
      </c>
      <c r="C57" s="14" t="n">
        <v>9</v>
      </c>
      <c r="D57" s="13" t="n">
        <v>8</v>
      </c>
    </row>
    <row r="58" customFormat="false" ht="15" hidden="false" customHeight="true" outlineLevel="0" collapsed="false">
      <c r="A58" s="13" t="n">
        <v>8</v>
      </c>
      <c r="B58" s="13" t="s">
        <v>80</v>
      </c>
      <c r="C58" s="14" t="n">
        <v>16.5</v>
      </c>
      <c r="D58" s="13" t="n">
        <v>14</v>
      </c>
    </row>
    <row r="59" customFormat="false" ht="15" hidden="false" customHeight="true" outlineLevel="0" collapsed="false">
      <c r="A59" s="13" t="n">
        <v>9</v>
      </c>
      <c r="B59" s="13" t="s">
        <v>81</v>
      </c>
      <c r="C59" s="14" t="n">
        <v>15</v>
      </c>
      <c r="D59" s="13" t="n">
        <v>13</v>
      </c>
    </row>
    <row r="60" customFormat="false" ht="15" hidden="false" customHeight="true" outlineLevel="0" collapsed="false">
      <c r="A60" s="13" t="n">
        <v>10</v>
      </c>
      <c r="B60" s="13" t="s">
        <v>82</v>
      </c>
      <c r="C60" s="14" t="n">
        <v>11.5</v>
      </c>
      <c r="D60" s="13" t="n">
        <v>10</v>
      </c>
    </row>
    <row r="61" customFormat="false" ht="15" hidden="false" customHeight="true" outlineLevel="0" collapsed="false">
      <c r="A61" s="13" t="n">
        <v>11</v>
      </c>
      <c r="B61" s="13" t="s">
        <v>83</v>
      </c>
      <c r="C61" s="14" t="n">
        <v>10</v>
      </c>
      <c r="D61" s="13" t="n">
        <v>9</v>
      </c>
    </row>
    <row r="62" customFormat="false" ht="15" hidden="false" customHeight="true" outlineLevel="0" collapsed="false">
      <c r="A62" s="13" t="n">
        <v>12</v>
      </c>
      <c r="B62" s="13" t="s">
        <v>84</v>
      </c>
      <c r="C62" s="14" t="n">
        <v>7.5</v>
      </c>
      <c r="D62" s="13" t="n">
        <v>6</v>
      </c>
    </row>
    <row r="63" customFormat="false" ht="15" hidden="false" customHeight="true" outlineLevel="0" collapsed="false">
      <c r="A63" s="13" t="n">
        <v>13</v>
      </c>
      <c r="B63" s="13" t="s">
        <v>85</v>
      </c>
      <c r="C63" s="14" t="n">
        <v>11.5</v>
      </c>
      <c r="D63" s="13" t="n">
        <v>10</v>
      </c>
    </row>
    <row r="64" customFormat="false" ht="15" hidden="false" customHeight="true" outlineLevel="0" collapsed="false">
      <c r="A64" s="13" t="n">
        <v>14</v>
      </c>
      <c r="B64" s="13" t="s">
        <v>86</v>
      </c>
      <c r="C64" s="14" t="n">
        <v>11.5</v>
      </c>
      <c r="D64" s="13" t="n">
        <v>10</v>
      </c>
    </row>
    <row r="65" customFormat="false" ht="15" hidden="false" customHeight="true" outlineLevel="0" collapsed="false">
      <c r="A65" s="13" t="n">
        <v>15</v>
      </c>
      <c r="B65" s="13" t="s">
        <v>87</v>
      </c>
      <c r="C65" s="14" t="n">
        <v>11</v>
      </c>
      <c r="D65" s="13" t="n">
        <v>10</v>
      </c>
    </row>
    <row r="66" customFormat="false" ht="15" hidden="false" customHeight="true" outlineLevel="0" collapsed="false">
      <c r="A66" s="13" t="n">
        <v>16</v>
      </c>
      <c r="B66" s="13" t="s">
        <v>88</v>
      </c>
      <c r="C66" s="14" t="n">
        <v>4.5</v>
      </c>
      <c r="D66" s="13" t="n">
        <v>4</v>
      </c>
    </row>
    <row r="67" customFormat="false" ht="15" hidden="false" customHeight="true" outlineLevel="0" collapsed="false">
      <c r="A67" s="15"/>
      <c r="B67" s="16" t="s">
        <v>50</v>
      </c>
      <c r="C67" s="17" t="n">
        <f aca="false">SUM(C51:C66)</f>
        <v>182.5</v>
      </c>
      <c r="D67" s="16" t="n">
        <f aca="false">SUM(D51:D66)</f>
        <v>157</v>
      </c>
    </row>
    <row r="69" customFormat="false" ht="15" hidden="false" customHeight="true" outlineLevel="0" collapsed="false">
      <c r="A69" s="10" t="str">
        <f aca="false">"Grade VII   (stage: middle, NCF annual total: "&amp;'Annual Budget'!$E$9&amp;" periods)"</f>
        <v>Grade VII   (stage: middle, NCF annual total: 157 periods)</v>
      </c>
      <c r="B69" s="11"/>
      <c r="C69" s="11"/>
      <c r="D69" s="11"/>
      <c r="E69" s="11"/>
    </row>
    <row r="70" customFormat="false" ht="15" hidden="false" customHeight="true" outlineLevel="0" collapsed="false">
      <c r="A70" s="12" t="s">
        <v>34</v>
      </c>
      <c r="B70" s="12" t="s">
        <v>35</v>
      </c>
      <c r="C70" s="12" t="s">
        <v>36</v>
      </c>
      <c r="D70" s="12" t="s">
        <v>37</v>
      </c>
    </row>
    <row r="71" customFormat="false" ht="15" hidden="false" customHeight="true" outlineLevel="0" collapsed="false">
      <c r="A71" s="13" t="n">
        <v>1</v>
      </c>
      <c r="B71" s="13" t="s">
        <v>89</v>
      </c>
      <c r="C71" s="14" t="n">
        <v>16.5</v>
      </c>
      <c r="D71" s="13" t="n">
        <v>14</v>
      </c>
    </row>
    <row r="72" customFormat="false" ht="15" hidden="false" customHeight="true" outlineLevel="0" collapsed="false">
      <c r="A72" s="13" t="n">
        <v>2</v>
      </c>
      <c r="B72" s="13" t="s">
        <v>90</v>
      </c>
      <c r="C72" s="14" t="n">
        <v>14</v>
      </c>
      <c r="D72" s="13" t="n">
        <v>12</v>
      </c>
    </row>
    <row r="73" customFormat="false" ht="15" hidden="false" customHeight="true" outlineLevel="0" collapsed="false">
      <c r="A73" s="13" t="n">
        <v>3</v>
      </c>
      <c r="B73" s="13" t="s">
        <v>91</v>
      </c>
      <c r="C73" s="14" t="n">
        <v>12.5</v>
      </c>
      <c r="D73" s="13" t="n">
        <v>10</v>
      </c>
    </row>
    <row r="74" customFormat="false" ht="15" hidden="false" customHeight="true" outlineLevel="0" collapsed="false">
      <c r="A74" s="13" t="n">
        <v>4</v>
      </c>
      <c r="B74" s="13" t="s">
        <v>92</v>
      </c>
      <c r="C74" s="14" t="n">
        <v>15.5</v>
      </c>
      <c r="D74" s="13" t="n">
        <v>13</v>
      </c>
    </row>
    <row r="75" customFormat="false" ht="15" hidden="false" customHeight="true" outlineLevel="0" collapsed="false">
      <c r="A75" s="13" t="n">
        <v>5</v>
      </c>
      <c r="B75" s="13" t="s">
        <v>93</v>
      </c>
      <c r="C75" s="14" t="n">
        <v>15.5</v>
      </c>
      <c r="D75" s="13" t="n">
        <v>13</v>
      </c>
    </row>
    <row r="76" customFormat="false" ht="15" hidden="false" customHeight="true" outlineLevel="0" collapsed="false">
      <c r="A76" s="13" t="n">
        <v>6</v>
      </c>
      <c r="B76" s="13" t="s">
        <v>94</v>
      </c>
      <c r="C76" s="14" t="n">
        <v>14</v>
      </c>
      <c r="D76" s="13" t="n">
        <v>12</v>
      </c>
    </row>
    <row r="77" customFormat="false" ht="15" hidden="false" customHeight="true" outlineLevel="0" collapsed="false">
      <c r="A77" s="13" t="n">
        <v>7</v>
      </c>
      <c r="B77" s="13" t="s">
        <v>95</v>
      </c>
      <c r="C77" s="14" t="n">
        <v>10.5</v>
      </c>
      <c r="D77" s="13" t="n">
        <v>9</v>
      </c>
    </row>
    <row r="78" customFormat="false" ht="15" hidden="false" customHeight="true" outlineLevel="0" collapsed="false">
      <c r="A78" s="13" t="n">
        <v>8</v>
      </c>
      <c r="B78" s="13" t="s">
        <v>96</v>
      </c>
      <c r="C78" s="14" t="n">
        <v>16.5</v>
      </c>
      <c r="D78" s="13" t="n">
        <v>14</v>
      </c>
    </row>
    <row r="79" customFormat="false" ht="15" hidden="false" customHeight="true" outlineLevel="0" collapsed="false">
      <c r="A79" s="13" t="n">
        <v>9</v>
      </c>
      <c r="B79" s="13" t="s">
        <v>97</v>
      </c>
      <c r="C79" s="14" t="n">
        <v>14</v>
      </c>
      <c r="D79" s="13" t="n">
        <v>12</v>
      </c>
    </row>
    <row r="80" customFormat="false" ht="15" hidden="false" customHeight="true" outlineLevel="0" collapsed="false">
      <c r="A80" s="13" t="n">
        <v>10</v>
      </c>
      <c r="B80" s="13" t="s">
        <v>98</v>
      </c>
      <c r="C80" s="14" t="n">
        <v>9</v>
      </c>
      <c r="D80" s="13" t="n">
        <v>8</v>
      </c>
    </row>
    <row r="81" customFormat="false" ht="15" hidden="false" customHeight="true" outlineLevel="0" collapsed="false">
      <c r="A81" s="13" t="n">
        <v>11</v>
      </c>
      <c r="B81" s="13" t="s">
        <v>99</v>
      </c>
      <c r="C81" s="14" t="n">
        <v>10</v>
      </c>
      <c r="D81" s="13" t="n">
        <v>8</v>
      </c>
    </row>
    <row r="82" customFormat="false" ht="15" hidden="false" customHeight="true" outlineLevel="0" collapsed="false">
      <c r="A82" s="13" t="n">
        <v>12</v>
      </c>
      <c r="B82" s="13" t="s">
        <v>100</v>
      </c>
      <c r="C82" s="14" t="n">
        <v>10</v>
      </c>
      <c r="D82" s="13" t="n">
        <v>8</v>
      </c>
    </row>
    <row r="83" customFormat="false" ht="15" hidden="false" customHeight="true" outlineLevel="0" collapsed="false">
      <c r="A83" s="13" t="n">
        <v>13</v>
      </c>
      <c r="B83" s="13" t="s">
        <v>101</v>
      </c>
      <c r="C83" s="14" t="n">
        <v>12.5</v>
      </c>
      <c r="D83" s="13" t="n">
        <v>10</v>
      </c>
    </row>
    <row r="84" customFormat="false" ht="15" hidden="false" customHeight="true" outlineLevel="0" collapsed="false">
      <c r="A84" s="13" t="n">
        <v>14</v>
      </c>
      <c r="B84" s="13" t="s">
        <v>102</v>
      </c>
      <c r="C84" s="14" t="n">
        <v>10</v>
      </c>
      <c r="D84" s="13" t="n">
        <v>8</v>
      </c>
    </row>
    <row r="85" customFormat="false" ht="15" hidden="false" customHeight="true" outlineLevel="0" collapsed="false">
      <c r="A85" s="13" t="n">
        <v>15</v>
      </c>
      <c r="B85" s="13" t="s">
        <v>103</v>
      </c>
      <c r="C85" s="14" t="n">
        <v>7.5</v>
      </c>
      <c r="D85" s="13" t="n">
        <v>6</v>
      </c>
    </row>
    <row r="86" customFormat="false" ht="15" hidden="false" customHeight="true" outlineLevel="0" collapsed="false">
      <c r="A86" s="15"/>
      <c r="B86" s="16" t="s">
        <v>50</v>
      </c>
      <c r="C86" s="17" t="n">
        <f aca="false">SUM(C71:C85)</f>
        <v>188</v>
      </c>
      <c r="D86" s="16" t="n">
        <f aca="false">SUM(D71:D85)</f>
        <v>157</v>
      </c>
    </row>
    <row r="88" customFormat="false" ht="15" hidden="false" customHeight="true" outlineLevel="0" collapsed="false">
      <c r="A88" s="10" t="str">
        <f aca="false">"Grade VIII   (stage: middle, NCF annual total: "&amp;'Annual Budget'!$E$10&amp;" periods)"</f>
        <v>Grade VIII   (stage: middle, NCF annual total: 157 periods)</v>
      </c>
      <c r="B88" s="11"/>
      <c r="C88" s="11"/>
      <c r="D88" s="11"/>
      <c r="E88" s="11"/>
    </row>
    <row r="89" customFormat="false" ht="15" hidden="false" customHeight="true" outlineLevel="0" collapsed="false">
      <c r="A89" s="12" t="s">
        <v>34</v>
      </c>
      <c r="B89" s="12" t="s">
        <v>35</v>
      </c>
      <c r="C89" s="12" t="s">
        <v>36</v>
      </c>
      <c r="D89" s="12" t="s">
        <v>37</v>
      </c>
    </row>
    <row r="90" customFormat="false" ht="15" hidden="false" customHeight="true" outlineLevel="0" collapsed="false">
      <c r="A90" s="13" t="n">
        <v>1</v>
      </c>
      <c r="B90" s="13" t="s">
        <v>104</v>
      </c>
      <c r="C90" s="14" t="n">
        <v>12.5</v>
      </c>
      <c r="D90" s="13" t="n">
        <v>9</v>
      </c>
    </row>
    <row r="91" customFormat="false" ht="15" hidden="false" customHeight="true" outlineLevel="0" collapsed="false">
      <c r="A91" s="13" t="n">
        <v>2</v>
      </c>
      <c r="B91" s="13" t="s">
        <v>105</v>
      </c>
      <c r="C91" s="14" t="n">
        <v>14</v>
      </c>
      <c r="D91" s="13" t="n">
        <v>11</v>
      </c>
    </row>
    <row r="92" customFormat="false" ht="15" hidden="false" customHeight="true" outlineLevel="0" collapsed="false">
      <c r="A92" s="13" t="n">
        <v>3</v>
      </c>
      <c r="B92" s="13" t="s">
        <v>106</v>
      </c>
      <c r="C92" s="14" t="n">
        <v>11.5</v>
      </c>
      <c r="D92" s="13" t="n">
        <v>9</v>
      </c>
    </row>
    <row r="93" customFormat="false" ht="15" hidden="false" customHeight="true" outlineLevel="0" collapsed="false">
      <c r="A93" s="13" t="n">
        <v>4</v>
      </c>
      <c r="B93" s="13" t="s">
        <v>107</v>
      </c>
      <c r="C93" s="14" t="n">
        <v>12.5</v>
      </c>
      <c r="D93" s="13" t="n">
        <v>9</v>
      </c>
    </row>
    <row r="94" customFormat="false" ht="15" hidden="false" customHeight="true" outlineLevel="0" collapsed="false">
      <c r="A94" s="13" t="n">
        <v>5</v>
      </c>
      <c r="B94" s="13" t="s">
        <v>108</v>
      </c>
      <c r="C94" s="14" t="n">
        <v>13</v>
      </c>
      <c r="D94" s="13" t="n">
        <v>10</v>
      </c>
    </row>
    <row r="95" customFormat="false" ht="15" hidden="false" customHeight="true" outlineLevel="0" collapsed="false">
      <c r="A95" s="13" t="n">
        <v>6</v>
      </c>
      <c r="B95" s="13" t="s">
        <v>109</v>
      </c>
      <c r="C95" s="14" t="n">
        <v>14</v>
      </c>
      <c r="D95" s="13" t="n">
        <v>11</v>
      </c>
    </row>
    <row r="96" customFormat="false" ht="15" hidden="false" customHeight="true" outlineLevel="0" collapsed="false">
      <c r="A96" s="13" t="n">
        <v>7</v>
      </c>
      <c r="B96" s="13" t="s">
        <v>110</v>
      </c>
      <c r="C96" s="14" t="n">
        <v>15.5</v>
      </c>
      <c r="D96" s="13" t="n">
        <v>12</v>
      </c>
    </row>
    <row r="97" customFormat="false" ht="15" hidden="false" customHeight="true" outlineLevel="0" collapsed="false">
      <c r="A97" s="13" t="n">
        <v>8</v>
      </c>
      <c r="B97" s="13" t="s">
        <v>111</v>
      </c>
      <c r="C97" s="14" t="n">
        <v>14</v>
      </c>
      <c r="D97" s="13" t="n">
        <v>10</v>
      </c>
    </row>
    <row r="98" customFormat="false" ht="15" hidden="false" customHeight="true" outlineLevel="0" collapsed="false">
      <c r="A98" s="13" t="n">
        <v>9</v>
      </c>
      <c r="B98" s="13" t="s">
        <v>112</v>
      </c>
      <c r="C98" s="14" t="n">
        <v>11.5</v>
      </c>
      <c r="D98" s="13" t="n">
        <v>9</v>
      </c>
    </row>
    <row r="99" customFormat="false" ht="15" hidden="false" customHeight="true" outlineLevel="0" collapsed="false">
      <c r="A99" s="13" t="n">
        <v>10</v>
      </c>
      <c r="B99" s="13" t="s">
        <v>113</v>
      </c>
      <c r="C99" s="14" t="n">
        <v>14.5</v>
      </c>
      <c r="D99" s="13" t="n">
        <v>11</v>
      </c>
    </row>
    <row r="100" customFormat="false" ht="15" hidden="false" customHeight="true" outlineLevel="0" collapsed="false">
      <c r="A100" s="13" t="n">
        <v>11</v>
      </c>
      <c r="B100" s="13" t="s">
        <v>114</v>
      </c>
      <c r="C100" s="14" t="n">
        <v>15.5</v>
      </c>
      <c r="D100" s="13" t="n">
        <v>12</v>
      </c>
    </row>
    <row r="101" customFormat="false" ht="15" hidden="false" customHeight="true" outlineLevel="0" collapsed="false">
      <c r="A101" s="13" t="n">
        <v>12</v>
      </c>
      <c r="B101" s="13" t="s">
        <v>115</v>
      </c>
      <c r="C101" s="14" t="n">
        <v>14</v>
      </c>
      <c r="D101" s="13" t="n">
        <v>10</v>
      </c>
    </row>
    <row r="102" customFormat="false" ht="15" hidden="false" customHeight="true" outlineLevel="0" collapsed="false">
      <c r="A102" s="13" t="n">
        <v>13</v>
      </c>
      <c r="B102" s="13" t="s">
        <v>116</v>
      </c>
      <c r="C102" s="14" t="n">
        <v>16.5</v>
      </c>
      <c r="D102" s="13" t="n">
        <v>12</v>
      </c>
    </row>
    <row r="103" customFormat="false" ht="15" hidden="false" customHeight="true" outlineLevel="0" collapsed="false">
      <c r="A103" s="13" t="n">
        <v>14</v>
      </c>
      <c r="B103" s="13" t="s">
        <v>117</v>
      </c>
      <c r="C103" s="14" t="n">
        <v>15.5</v>
      </c>
      <c r="D103" s="13" t="n">
        <v>12</v>
      </c>
    </row>
    <row r="104" customFormat="false" ht="15" hidden="false" customHeight="true" outlineLevel="0" collapsed="false">
      <c r="A104" s="13" t="n">
        <v>15</v>
      </c>
      <c r="B104" s="13" t="s">
        <v>118</v>
      </c>
      <c r="C104" s="14" t="n">
        <v>14</v>
      </c>
      <c r="D104" s="13" t="n">
        <v>10</v>
      </c>
    </row>
    <row r="105" customFormat="false" ht="15" hidden="false" customHeight="true" outlineLevel="0" collapsed="false">
      <c r="A105" s="15"/>
      <c r="B105" s="16" t="s">
        <v>50</v>
      </c>
      <c r="C105" s="17" t="n">
        <f aca="false">SUM(C90:C104)</f>
        <v>208.5</v>
      </c>
      <c r="D105" s="16" t="n">
        <f aca="false">SUM(D90:D104)</f>
        <v>157</v>
      </c>
    </row>
    <row r="107" customFormat="false" ht="15" hidden="false" customHeight="true" outlineLevel="0" collapsed="false">
      <c r="A107" s="10" t="str">
        <f aca="false">"Grade IX   (stage: secondary, NCF annual total: "&amp;'Annual Budget'!$E$11&amp;" periods)"</f>
        <v>Grade IX   (stage: secondary, NCF annual total: 126 periods)</v>
      </c>
      <c r="B107" s="11"/>
      <c r="C107" s="11"/>
      <c r="D107" s="11"/>
      <c r="E107" s="11"/>
    </row>
    <row r="108" customFormat="false" ht="15" hidden="false" customHeight="true" outlineLevel="0" collapsed="false">
      <c r="A108" s="12" t="s">
        <v>34</v>
      </c>
      <c r="B108" s="12" t="s">
        <v>35</v>
      </c>
      <c r="C108" s="12" t="s">
        <v>36</v>
      </c>
      <c r="D108" s="12" t="s">
        <v>37</v>
      </c>
    </row>
    <row r="109" customFormat="false" ht="15" hidden="false" customHeight="true" outlineLevel="0" collapsed="false">
      <c r="A109" s="13" t="n">
        <v>1</v>
      </c>
      <c r="B109" s="13" t="s">
        <v>119</v>
      </c>
      <c r="C109" s="14" t="n">
        <v>10.5</v>
      </c>
      <c r="D109" s="13" t="n">
        <v>15</v>
      </c>
    </row>
    <row r="110" customFormat="false" ht="15" hidden="false" customHeight="true" outlineLevel="0" collapsed="false">
      <c r="A110" s="13" t="n">
        <v>2</v>
      </c>
      <c r="B110" s="13" t="s">
        <v>120</v>
      </c>
      <c r="C110" s="14" t="n">
        <v>12</v>
      </c>
      <c r="D110" s="13" t="n">
        <v>17</v>
      </c>
    </row>
    <row r="111" customFormat="false" ht="15" hidden="false" customHeight="true" outlineLevel="0" collapsed="false">
      <c r="A111" s="13" t="n">
        <v>3</v>
      </c>
      <c r="B111" s="13" t="s">
        <v>121</v>
      </c>
      <c r="C111" s="14" t="n">
        <v>9</v>
      </c>
      <c r="D111" s="13" t="n">
        <v>12</v>
      </c>
    </row>
    <row r="112" customFormat="false" ht="15" hidden="false" customHeight="true" outlineLevel="0" collapsed="false">
      <c r="A112" s="13" t="n">
        <v>4</v>
      </c>
      <c r="B112" s="13" t="s">
        <v>122</v>
      </c>
      <c r="C112" s="14" t="n">
        <v>13.3</v>
      </c>
      <c r="D112" s="13" t="n">
        <v>19</v>
      </c>
    </row>
    <row r="113" customFormat="false" ht="15" hidden="false" customHeight="true" outlineLevel="0" collapsed="false">
      <c r="A113" s="13" t="n">
        <v>5</v>
      </c>
      <c r="B113" s="13" t="s">
        <v>123</v>
      </c>
      <c r="C113" s="14" t="n">
        <v>10.5</v>
      </c>
      <c r="D113" s="13" t="n">
        <v>15</v>
      </c>
    </row>
    <row r="114" customFormat="false" ht="15" hidden="false" customHeight="true" outlineLevel="0" collapsed="false">
      <c r="A114" s="13" t="n">
        <v>6</v>
      </c>
      <c r="B114" s="13" t="s">
        <v>124</v>
      </c>
      <c r="C114" s="14" t="n">
        <v>10.5</v>
      </c>
      <c r="D114" s="13" t="n">
        <v>15</v>
      </c>
    </row>
    <row r="115" customFormat="false" ht="15" hidden="false" customHeight="true" outlineLevel="0" collapsed="false">
      <c r="A115" s="13" t="n">
        <v>7</v>
      </c>
      <c r="B115" s="13" t="s">
        <v>125</v>
      </c>
      <c r="C115" s="14" t="n">
        <v>13.1</v>
      </c>
      <c r="D115" s="13" t="n">
        <v>18</v>
      </c>
    </row>
    <row r="116" customFormat="false" ht="15" hidden="false" customHeight="true" outlineLevel="0" collapsed="false">
      <c r="A116" s="13" t="n">
        <v>8</v>
      </c>
      <c r="B116" s="13" t="s">
        <v>126</v>
      </c>
      <c r="C116" s="14" t="n">
        <v>10.5</v>
      </c>
      <c r="D116" s="13" t="n">
        <v>15</v>
      </c>
    </row>
    <row r="117" customFormat="false" ht="15" hidden="false" customHeight="true" outlineLevel="0" collapsed="false">
      <c r="A117" s="15"/>
      <c r="B117" s="16" t="s">
        <v>50</v>
      </c>
      <c r="C117" s="17" t="n">
        <f aca="false">SUM(C109:C116)</f>
        <v>89.4</v>
      </c>
      <c r="D117" s="16" t="n">
        <f aca="false">SUM(D109:D116)</f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127</v>
      </c>
    </row>
    <row r="3" customFormat="false" ht="15" hidden="false" customHeight="true" outlineLevel="0" collapsed="false">
      <c r="A3" s="10" t="str">
        <f aca="false">"Grade III   (stage: preparatory, NCF annual total: "&amp;'Annual Budget'!$E$12&amp;" periods)"</f>
        <v>Grade III   (stage: preparatory, NCF annual total: 277 periods)</v>
      </c>
      <c r="B3" s="11"/>
      <c r="C3" s="11"/>
      <c r="D3" s="11"/>
      <c r="E3" s="11"/>
    </row>
    <row r="4" customFormat="false" ht="1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</row>
    <row r="5" customFormat="false" ht="15" hidden="false" customHeight="true" outlineLevel="0" collapsed="false">
      <c r="A5" s="13" t="n">
        <v>1</v>
      </c>
      <c r="B5" s="13" t="s">
        <v>128</v>
      </c>
      <c r="C5" s="14" t="n">
        <v>6</v>
      </c>
      <c r="D5" s="13" t="n">
        <v>11</v>
      </c>
    </row>
    <row r="6" customFormat="false" ht="15" hidden="false" customHeight="true" outlineLevel="0" collapsed="false">
      <c r="A6" s="13" t="n">
        <v>2</v>
      </c>
      <c r="B6" s="13" t="s">
        <v>129</v>
      </c>
      <c r="C6" s="14" t="n">
        <v>7.5</v>
      </c>
      <c r="D6" s="13" t="n">
        <v>14</v>
      </c>
    </row>
    <row r="7" customFormat="false" ht="15" hidden="false" customHeight="true" outlineLevel="0" collapsed="false">
      <c r="A7" s="13" t="n">
        <v>3</v>
      </c>
      <c r="B7" s="13" t="s">
        <v>130</v>
      </c>
      <c r="C7" s="14" t="n">
        <v>13</v>
      </c>
      <c r="D7" s="13" t="n">
        <v>25</v>
      </c>
    </row>
    <row r="8" customFormat="false" ht="15" hidden="false" customHeight="true" outlineLevel="0" collapsed="false">
      <c r="A8" s="13" t="n">
        <v>4</v>
      </c>
      <c r="B8" s="13" t="s">
        <v>131</v>
      </c>
      <c r="C8" s="14" t="n">
        <v>9.5</v>
      </c>
      <c r="D8" s="13" t="n">
        <v>18</v>
      </c>
    </row>
    <row r="9" customFormat="false" ht="15" hidden="false" customHeight="true" outlineLevel="0" collapsed="false">
      <c r="A9" s="13" t="n">
        <v>5</v>
      </c>
      <c r="B9" s="13" t="s">
        <v>132</v>
      </c>
      <c r="C9" s="14" t="n">
        <v>13</v>
      </c>
      <c r="D9" s="13" t="n">
        <v>25</v>
      </c>
    </row>
    <row r="10" customFormat="false" ht="15" hidden="false" customHeight="true" outlineLevel="0" collapsed="false">
      <c r="A10" s="13" t="n">
        <v>6</v>
      </c>
      <c r="B10" s="13" t="s">
        <v>133</v>
      </c>
      <c r="C10" s="14" t="n">
        <v>11.5</v>
      </c>
      <c r="D10" s="13" t="n">
        <v>22</v>
      </c>
    </row>
    <row r="11" customFormat="false" ht="15" hidden="false" customHeight="true" outlineLevel="0" collapsed="false">
      <c r="A11" s="13" t="n">
        <v>7</v>
      </c>
      <c r="B11" s="13" t="s">
        <v>134</v>
      </c>
      <c r="C11" s="14" t="n">
        <v>13</v>
      </c>
      <c r="D11" s="13" t="n">
        <v>24</v>
      </c>
    </row>
    <row r="12" customFormat="false" ht="15" hidden="false" customHeight="true" outlineLevel="0" collapsed="false">
      <c r="A12" s="13" t="n">
        <v>8</v>
      </c>
      <c r="B12" s="13" t="s">
        <v>135</v>
      </c>
      <c r="C12" s="14" t="n">
        <v>9.5</v>
      </c>
      <c r="D12" s="13" t="n">
        <v>18</v>
      </c>
    </row>
    <row r="13" customFormat="false" ht="15" hidden="false" customHeight="true" outlineLevel="0" collapsed="false">
      <c r="A13" s="13" t="n">
        <v>9</v>
      </c>
      <c r="B13" s="13" t="s">
        <v>136</v>
      </c>
      <c r="C13" s="14" t="n">
        <v>11.5</v>
      </c>
      <c r="D13" s="13" t="n">
        <v>22</v>
      </c>
    </row>
    <row r="14" customFormat="false" ht="15" hidden="false" customHeight="true" outlineLevel="0" collapsed="false">
      <c r="A14" s="13" t="n">
        <v>10</v>
      </c>
      <c r="B14" s="13" t="s">
        <v>137</v>
      </c>
      <c r="C14" s="14" t="n">
        <v>13</v>
      </c>
      <c r="D14" s="13" t="n">
        <v>24</v>
      </c>
    </row>
    <row r="15" customFormat="false" ht="15" hidden="false" customHeight="true" outlineLevel="0" collapsed="false">
      <c r="A15" s="13" t="n">
        <v>11</v>
      </c>
      <c r="B15" s="13" t="s">
        <v>138</v>
      </c>
      <c r="C15" s="14" t="n">
        <v>9.5</v>
      </c>
      <c r="D15" s="13" t="n">
        <v>18</v>
      </c>
    </row>
    <row r="16" customFormat="false" ht="15" hidden="false" customHeight="true" outlineLevel="0" collapsed="false">
      <c r="A16" s="13" t="n">
        <v>12</v>
      </c>
      <c r="B16" s="13" t="s">
        <v>139</v>
      </c>
      <c r="C16" s="14" t="n">
        <v>7.5</v>
      </c>
      <c r="D16" s="13" t="n">
        <v>14</v>
      </c>
    </row>
    <row r="17" customFormat="false" ht="15" hidden="false" customHeight="true" outlineLevel="0" collapsed="false">
      <c r="A17" s="13" t="n">
        <v>13</v>
      </c>
      <c r="B17" s="13" t="s">
        <v>140</v>
      </c>
      <c r="C17" s="14" t="n">
        <v>13</v>
      </c>
      <c r="D17" s="13" t="n">
        <v>24</v>
      </c>
    </row>
    <row r="18" customFormat="false" ht="15" hidden="false" customHeight="true" outlineLevel="0" collapsed="false">
      <c r="A18" s="13" t="n">
        <v>14</v>
      </c>
      <c r="B18" s="13" t="s">
        <v>141</v>
      </c>
      <c r="C18" s="14" t="n">
        <v>9.5</v>
      </c>
      <c r="D18" s="13" t="n">
        <v>18</v>
      </c>
    </row>
    <row r="19" customFormat="false" ht="15" hidden="false" customHeight="true" outlineLevel="0" collapsed="false">
      <c r="A19" s="15"/>
      <c r="B19" s="16" t="s">
        <v>50</v>
      </c>
      <c r="C19" s="17" t="n">
        <f aca="false">SUM(C5:C18)</f>
        <v>147</v>
      </c>
      <c r="D19" s="16" t="n">
        <f aca="false">SUM(D5:D18)</f>
        <v>277</v>
      </c>
    </row>
    <row r="21" customFormat="false" ht="15" hidden="false" customHeight="true" outlineLevel="0" collapsed="false">
      <c r="A21" s="10" t="str">
        <f aca="false">"Grade IV   (stage: preparatory, NCF annual total: "&amp;'Annual Budget'!$E$13&amp;" periods)"</f>
        <v>Grade IV   (stage: preparatory, NCF annual total: 277 periods)</v>
      </c>
      <c r="B21" s="11"/>
      <c r="C21" s="11"/>
      <c r="D21" s="11"/>
      <c r="E21" s="11"/>
    </row>
    <row r="22" customFormat="false" ht="15" hidden="false" customHeight="true" outlineLevel="0" collapsed="false">
      <c r="A22" s="12" t="s">
        <v>34</v>
      </c>
      <c r="B22" s="12" t="s">
        <v>35</v>
      </c>
      <c r="C22" s="12" t="s">
        <v>36</v>
      </c>
      <c r="D22" s="12" t="s">
        <v>37</v>
      </c>
    </row>
    <row r="23" customFormat="false" ht="15" hidden="false" customHeight="true" outlineLevel="0" collapsed="false">
      <c r="A23" s="13" t="n">
        <v>1</v>
      </c>
      <c r="B23" s="13" t="s">
        <v>142</v>
      </c>
      <c r="C23" s="14" t="n">
        <v>13</v>
      </c>
      <c r="D23" s="13" t="n">
        <v>23</v>
      </c>
    </row>
    <row r="24" customFormat="false" ht="15" hidden="false" customHeight="true" outlineLevel="0" collapsed="false">
      <c r="A24" s="13" t="n">
        <v>2</v>
      </c>
      <c r="B24" s="13" t="s">
        <v>143</v>
      </c>
      <c r="C24" s="14" t="n">
        <v>6</v>
      </c>
      <c r="D24" s="13" t="n">
        <v>11</v>
      </c>
    </row>
    <row r="25" customFormat="false" ht="15" hidden="false" customHeight="true" outlineLevel="0" collapsed="false">
      <c r="A25" s="13" t="n">
        <v>3</v>
      </c>
      <c r="B25" s="13" t="s">
        <v>144</v>
      </c>
      <c r="C25" s="14" t="n">
        <v>9.5</v>
      </c>
      <c r="D25" s="13" t="n">
        <v>17</v>
      </c>
    </row>
    <row r="26" customFormat="false" ht="15" hidden="false" customHeight="true" outlineLevel="0" collapsed="false">
      <c r="A26" s="13" t="n">
        <v>4</v>
      </c>
      <c r="B26" s="13" t="s">
        <v>145</v>
      </c>
      <c r="C26" s="14" t="n">
        <v>11.5</v>
      </c>
      <c r="D26" s="13" t="n">
        <v>21</v>
      </c>
    </row>
    <row r="27" customFormat="false" ht="15" hidden="false" customHeight="true" outlineLevel="0" collapsed="false">
      <c r="A27" s="13" t="n">
        <v>5</v>
      </c>
      <c r="B27" s="13" t="s">
        <v>146</v>
      </c>
      <c r="C27" s="14" t="n">
        <v>13</v>
      </c>
      <c r="D27" s="13" t="n">
        <v>23</v>
      </c>
    </row>
    <row r="28" customFormat="false" ht="15" hidden="false" customHeight="true" outlineLevel="0" collapsed="false">
      <c r="A28" s="13" t="n">
        <v>6</v>
      </c>
      <c r="B28" s="13" t="s">
        <v>147</v>
      </c>
      <c r="C28" s="14" t="n">
        <v>11</v>
      </c>
      <c r="D28" s="13" t="n">
        <v>20</v>
      </c>
    </row>
    <row r="29" customFormat="false" ht="15" hidden="false" customHeight="true" outlineLevel="0" collapsed="false">
      <c r="A29" s="13" t="n">
        <v>7</v>
      </c>
      <c r="B29" s="13" t="s">
        <v>148</v>
      </c>
      <c r="C29" s="14" t="n">
        <v>13</v>
      </c>
      <c r="D29" s="13" t="n">
        <v>23</v>
      </c>
    </row>
    <row r="30" customFormat="false" ht="15" hidden="false" customHeight="true" outlineLevel="0" collapsed="false">
      <c r="A30" s="13" t="n">
        <v>8</v>
      </c>
      <c r="B30" s="13" t="s">
        <v>149</v>
      </c>
      <c r="C30" s="14" t="n">
        <v>11.5</v>
      </c>
      <c r="D30" s="13" t="n">
        <v>21</v>
      </c>
    </row>
    <row r="31" customFormat="false" ht="15" hidden="false" customHeight="true" outlineLevel="0" collapsed="false">
      <c r="A31" s="13" t="n">
        <v>9</v>
      </c>
      <c r="B31" s="13" t="s">
        <v>150</v>
      </c>
      <c r="C31" s="14" t="n">
        <v>15</v>
      </c>
      <c r="D31" s="13" t="n">
        <v>27</v>
      </c>
    </row>
    <row r="32" customFormat="false" ht="15" hidden="false" customHeight="true" outlineLevel="0" collapsed="false">
      <c r="A32" s="13" t="n">
        <v>10</v>
      </c>
      <c r="B32" s="13" t="s">
        <v>151</v>
      </c>
      <c r="C32" s="14" t="n">
        <v>11.5</v>
      </c>
      <c r="D32" s="13" t="n">
        <v>21</v>
      </c>
    </row>
    <row r="33" customFormat="false" ht="15" hidden="false" customHeight="true" outlineLevel="0" collapsed="false">
      <c r="A33" s="13" t="n">
        <v>11</v>
      </c>
      <c r="B33" s="13" t="s">
        <v>152</v>
      </c>
      <c r="C33" s="14" t="n">
        <v>9.5</v>
      </c>
      <c r="D33" s="13" t="n">
        <v>17</v>
      </c>
    </row>
    <row r="34" customFormat="false" ht="15" hidden="false" customHeight="true" outlineLevel="0" collapsed="false">
      <c r="A34" s="13" t="n">
        <v>12</v>
      </c>
      <c r="B34" s="13" t="s">
        <v>153</v>
      </c>
      <c r="C34" s="14" t="n">
        <v>7.5</v>
      </c>
      <c r="D34" s="13" t="n">
        <v>13</v>
      </c>
    </row>
    <row r="35" customFormat="false" ht="15" hidden="false" customHeight="true" outlineLevel="0" collapsed="false">
      <c r="A35" s="13" t="n">
        <v>13</v>
      </c>
      <c r="B35" s="13" t="s">
        <v>154</v>
      </c>
      <c r="C35" s="14" t="n">
        <v>15</v>
      </c>
      <c r="D35" s="13" t="n">
        <v>27</v>
      </c>
    </row>
    <row r="36" customFormat="false" ht="15" hidden="false" customHeight="true" outlineLevel="0" collapsed="false">
      <c r="A36" s="13" t="n">
        <v>14</v>
      </c>
      <c r="B36" s="13" t="s">
        <v>155</v>
      </c>
      <c r="C36" s="14" t="n">
        <v>7.5</v>
      </c>
      <c r="D36" s="13" t="n">
        <v>13</v>
      </c>
    </row>
    <row r="37" customFormat="false" ht="15" hidden="false" customHeight="true" outlineLevel="0" collapsed="false">
      <c r="A37" s="15"/>
      <c r="B37" s="16" t="s">
        <v>50</v>
      </c>
      <c r="C37" s="17" t="n">
        <f aca="false">SUM(C23:C36)</f>
        <v>154.5</v>
      </c>
      <c r="D37" s="16" t="n">
        <f aca="false">SUM(D23:D36)</f>
        <v>277</v>
      </c>
    </row>
    <row r="39" customFormat="false" ht="15" hidden="false" customHeight="true" outlineLevel="0" collapsed="false">
      <c r="A39" s="10" t="str">
        <f aca="false">"Grade V   (stage: preparatory, NCF annual total: "&amp;'Annual Budget'!$E$14&amp;" periods)"</f>
        <v>Grade V   (stage: preparatory, NCF annual total: 277 periods)</v>
      </c>
      <c r="B39" s="11"/>
      <c r="C39" s="11"/>
      <c r="D39" s="11"/>
      <c r="E39" s="11"/>
    </row>
    <row r="40" customFormat="false" ht="15" hidden="false" customHeight="true" outlineLevel="0" collapsed="false">
      <c r="A40" s="12" t="s">
        <v>34</v>
      </c>
      <c r="B40" s="12" t="s">
        <v>35</v>
      </c>
      <c r="C40" s="12" t="s">
        <v>36</v>
      </c>
      <c r="D40" s="12" t="s">
        <v>37</v>
      </c>
    </row>
    <row r="41" customFormat="false" ht="15" hidden="false" customHeight="true" outlineLevel="0" collapsed="false">
      <c r="A41" s="13" t="n">
        <v>1</v>
      </c>
      <c r="B41" s="13" t="s">
        <v>156</v>
      </c>
      <c r="C41" s="14" t="n">
        <v>9.5</v>
      </c>
      <c r="D41" s="13" t="n">
        <v>16</v>
      </c>
    </row>
    <row r="42" customFormat="false" ht="15" hidden="false" customHeight="true" outlineLevel="0" collapsed="false">
      <c r="A42" s="13" t="n">
        <v>2</v>
      </c>
      <c r="B42" s="13" t="s">
        <v>157</v>
      </c>
      <c r="C42" s="14" t="n">
        <v>7.5</v>
      </c>
      <c r="D42" s="13" t="n">
        <v>13</v>
      </c>
    </row>
    <row r="43" customFormat="false" ht="15" hidden="false" customHeight="true" outlineLevel="0" collapsed="false">
      <c r="A43" s="13" t="n">
        <v>3</v>
      </c>
      <c r="B43" s="13" t="s">
        <v>158</v>
      </c>
      <c r="C43" s="14" t="n">
        <v>11</v>
      </c>
      <c r="D43" s="13" t="n">
        <v>19</v>
      </c>
    </row>
    <row r="44" customFormat="false" ht="15" hidden="false" customHeight="true" outlineLevel="0" collapsed="false">
      <c r="A44" s="13" t="n">
        <v>4</v>
      </c>
      <c r="B44" s="13" t="s">
        <v>159</v>
      </c>
      <c r="C44" s="14" t="n">
        <v>13</v>
      </c>
      <c r="D44" s="13" t="n">
        <v>23</v>
      </c>
    </row>
    <row r="45" customFormat="false" ht="15" hidden="false" customHeight="true" outlineLevel="0" collapsed="false">
      <c r="A45" s="13" t="n">
        <v>5</v>
      </c>
      <c r="B45" s="13" t="s">
        <v>160</v>
      </c>
      <c r="C45" s="14" t="n">
        <v>16.5</v>
      </c>
      <c r="D45" s="13" t="n">
        <v>29</v>
      </c>
    </row>
    <row r="46" customFormat="false" ht="15" hidden="false" customHeight="true" outlineLevel="0" collapsed="false">
      <c r="A46" s="13" t="n">
        <v>6</v>
      </c>
      <c r="B46" s="13" t="s">
        <v>161</v>
      </c>
      <c r="C46" s="14" t="n">
        <v>13.5</v>
      </c>
      <c r="D46" s="13" t="n">
        <v>23</v>
      </c>
    </row>
    <row r="47" customFormat="false" ht="15" hidden="false" customHeight="true" outlineLevel="0" collapsed="false">
      <c r="A47" s="13" t="n">
        <v>7</v>
      </c>
      <c r="B47" s="13" t="s">
        <v>162</v>
      </c>
      <c r="C47" s="14" t="n">
        <v>11.5</v>
      </c>
      <c r="D47" s="13" t="n">
        <v>20</v>
      </c>
    </row>
    <row r="48" customFormat="false" ht="15" hidden="false" customHeight="true" outlineLevel="0" collapsed="false">
      <c r="A48" s="13" t="n">
        <v>8</v>
      </c>
      <c r="B48" s="13" t="s">
        <v>163</v>
      </c>
      <c r="C48" s="14" t="n">
        <v>13</v>
      </c>
      <c r="D48" s="13" t="n">
        <v>22</v>
      </c>
    </row>
    <row r="49" customFormat="false" ht="15" hidden="false" customHeight="true" outlineLevel="0" collapsed="false">
      <c r="A49" s="13" t="n">
        <v>9</v>
      </c>
      <c r="B49" s="13" t="s">
        <v>164</v>
      </c>
      <c r="C49" s="14" t="n">
        <v>13</v>
      </c>
      <c r="D49" s="13" t="n">
        <v>22</v>
      </c>
    </row>
    <row r="50" customFormat="false" ht="15" hidden="false" customHeight="true" outlineLevel="0" collapsed="false">
      <c r="A50" s="13" t="n">
        <v>10</v>
      </c>
      <c r="B50" s="13" t="s">
        <v>165</v>
      </c>
      <c r="C50" s="14" t="n">
        <v>9.5</v>
      </c>
      <c r="D50" s="13" t="n">
        <v>16</v>
      </c>
    </row>
    <row r="51" customFormat="false" ht="15" hidden="false" customHeight="true" outlineLevel="0" collapsed="false">
      <c r="A51" s="13" t="n">
        <v>11</v>
      </c>
      <c r="B51" s="13" t="s">
        <v>166</v>
      </c>
      <c r="C51" s="14" t="n">
        <v>11</v>
      </c>
      <c r="D51" s="13" t="n">
        <v>19</v>
      </c>
    </row>
    <row r="52" customFormat="false" ht="15" hidden="false" customHeight="true" outlineLevel="0" collapsed="false">
      <c r="A52" s="13" t="n">
        <v>12</v>
      </c>
      <c r="B52" s="13" t="s">
        <v>167</v>
      </c>
      <c r="C52" s="14" t="n">
        <v>7.5</v>
      </c>
      <c r="D52" s="13" t="n">
        <v>13</v>
      </c>
    </row>
    <row r="53" customFormat="false" ht="15" hidden="false" customHeight="true" outlineLevel="0" collapsed="false">
      <c r="A53" s="13" t="n">
        <v>13</v>
      </c>
      <c r="B53" s="13" t="s">
        <v>168</v>
      </c>
      <c r="C53" s="14" t="n">
        <v>7.5</v>
      </c>
      <c r="D53" s="13" t="n">
        <v>13</v>
      </c>
    </row>
    <row r="54" customFormat="false" ht="15" hidden="false" customHeight="true" outlineLevel="0" collapsed="false">
      <c r="A54" s="13" t="n">
        <v>14</v>
      </c>
      <c r="B54" s="13" t="s">
        <v>169</v>
      </c>
      <c r="C54" s="14" t="n">
        <v>9</v>
      </c>
      <c r="D54" s="13" t="n">
        <v>16</v>
      </c>
    </row>
    <row r="55" customFormat="false" ht="15" hidden="false" customHeight="true" outlineLevel="0" collapsed="false">
      <c r="A55" s="13" t="n">
        <v>15</v>
      </c>
      <c r="B55" s="13" t="s">
        <v>170</v>
      </c>
      <c r="C55" s="14" t="n">
        <v>7.5</v>
      </c>
      <c r="D55" s="13" t="n">
        <v>13</v>
      </c>
    </row>
    <row r="56" customFormat="false" ht="15" hidden="false" customHeight="true" outlineLevel="0" collapsed="false">
      <c r="A56" s="15"/>
      <c r="B56" s="16" t="s">
        <v>50</v>
      </c>
      <c r="C56" s="17" t="n">
        <f aca="false">SUM(C41:C55)</f>
        <v>160.5</v>
      </c>
      <c r="D56" s="16" t="n">
        <f aca="false">SUM(D41:D55)</f>
        <v>277</v>
      </c>
    </row>
    <row r="58" customFormat="false" ht="15" hidden="false" customHeight="true" outlineLevel="0" collapsed="false">
      <c r="A58" s="10" t="str">
        <f aca="false">"Grade VI   (stage: middle, NCF annual total: "&amp;'Annual Budget'!$E$15&amp;" periods)"</f>
        <v>Grade VI   (stage: middle, NCF annual total: 172 periods)</v>
      </c>
      <c r="B58" s="11"/>
      <c r="C58" s="11"/>
      <c r="D58" s="11"/>
      <c r="E58" s="11"/>
    </row>
    <row r="59" customFormat="false" ht="15" hidden="false" customHeight="true" outlineLevel="0" collapsed="false">
      <c r="A59" s="12" t="s">
        <v>34</v>
      </c>
      <c r="B59" s="12" t="s">
        <v>35</v>
      </c>
      <c r="C59" s="12" t="s">
        <v>36</v>
      </c>
      <c r="D59" s="12" t="s">
        <v>37</v>
      </c>
    </row>
    <row r="60" customFormat="false" ht="15" hidden="false" customHeight="true" outlineLevel="0" collapsed="false">
      <c r="A60" s="13" t="n">
        <v>1</v>
      </c>
      <c r="B60" s="13" t="s">
        <v>171</v>
      </c>
      <c r="C60" s="14" t="n">
        <v>4</v>
      </c>
      <c r="D60" s="13" t="n">
        <v>8</v>
      </c>
    </row>
    <row r="61" customFormat="false" ht="15" hidden="false" customHeight="true" outlineLevel="0" collapsed="false">
      <c r="A61" s="13" t="n">
        <v>2</v>
      </c>
      <c r="B61" s="13" t="s">
        <v>172</v>
      </c>
      <c r="C61" s="14" t="n">
        <v>9.5</v>
      </c>
      <c r="D61" s="13" t="n">
        <v>19</v>
      </c>
    </row>
    <row r="62" customFormat="false" ht="15" hidden="false" customHeight="true" outlineLevel="0" collapsed="false">
      <c r="A62" s="13" t="n">
        <v>3</v>
      </c>
      <c r="B62" s="13" t="s">
        <v>173</v>
      </c>
      <c r="C62" s="14" t="n">
        <v>6</v>
      </c>
      <c r="D62" s="13" t="n">
        <v>12</v>
      </c>
    </row>
    <row r="63" customFormat="false" ht="15" hidden="false" customHeight="true" outlineLevel="0" collapsed="false">
      <c r="A63" s="13" t="n">
        <v>4</v>
      </c>
      <c r="B63" s="13" t="s">
        <v>174</v>
      </c>
      <c r="C63" s="14" t="n">
        <v>7</v>
      </c>
      <c r="D63" s="13" t="n">
        <v>14</v>
      </c>
    </row>
    <row r="64" customFormat="false" ht="15" hidden="false" customHeight="true" outlineLevel="0" collapsed="false">
      <c r="A64" s="13" t="n">
        <v>5</v>
      </c>
      <c r="B64" s="13" t="s">
        <v>175</v>
      </c>
      <c r="C64" s="14" t="n">
        <v>12</v>
      </c>
      <c r="D64" s="13" t="n">
        <v>23</v>
      </c>
    </row>
    <row r="65" customFormat="false" ht="15" hidden="false" customHeight="true" outlineLevel="0" collapsed="false">
      <c r="A65" s="13" t="n">
        <v>6</v>
      </c>
      <c r="B65" s="13" t="s">
        <v>176</v>
      </c>
      <c r="C65" s="14" t="n">
        <v>10</v>
      </c>
      <c r="D65" s="13" t="n">
        <v>20</v>
      </c>
    </row>
    <row r="66" customFormat="false" ht="15" hidden="false" customHeight="true" outlineLevel="0" collapsed="false">
      <c r="A66" s="13" t="n">
        <v>7</v>
      </c>
      <c r="B66" s="13" t="s">
        <v>157</v>
      </c>
      <c r="C66" s="14" t="n">
        <v>8</v>
      </c>
      <c r="D66" s="13" t="n">
        <v>16</v>
      </c>
    </row>
    <row r="67" customFormat="false" ht="15" hidden="false" customHeight="true" outlineLevel="0" collapsed="false">
      <c r="A67" s="13" t="n">
        <v>8</v>
      </c>
      <c r="B67" s="13" t="s">
        <v>177</v>
      </c>
      <c r="C67" s="14" t="n">
        <v>11</v>
      </c>
      <c r="D67" s="13" t="n">
        <v>22</v>
      </c>
    </row>
    <row r="68" customFormat="false" ht="15" hidden="false" customHeight="true" outlineLevel="0" collapsed="false">
      <c r="A68" s="13" t="n">
        <v>9</v>
      </c>
      <c r="B68" s="13" t="s">
        <v>178</v>
      </c>
      <c r="C68" s="14" t="n">
        <v>11.5</v>
      </c>
      <c r="D68" s="13" t="n">
        <v>22</v>
      </c>
    </row>
    <row r="69" customFormat="false" ht="15" hidden="false" customHeight="true" outlineLevel="0" collapsed="false">
      <c r="A69" s="13" t="n">
        <v>10</v>
      </c>
      <c r="B69" s="13" t="s">
        <v>179</v>
      </c>
      <c r="C69" s="14" t="n">
        <v>8</v>
      </c>
      <c r="D69" s="13" t="n">
        <v>16</v>
      </c>
    </row>
    <row r="70" customFormat="false" ht="15" hidden="false" customHeight="true" outlineLevel="0" collapsed="false">
      <c r="A70" s="15"/>
      <c r="B70" s="16" t="s">
        <v>50</v>
      </c>
      <c r="C70" s="17" t="n">
        <f aca="false">SUM(C60:C69)</f>
        <v>87</v>
      </c>
      <c r="D70" s="16" t="n">
        <f aca="false">SUM(D60:D69)</f>
        <v>172</v>
      </c>
    </row>
    <row r="72" customFormat="false" ht="15" hidden="false" customHeight="true" outlineLevel="0" collapsed="false">
      <c r="A72" s="10" t="str">
        <f aca="false">"Grade VII   (stage: middle, NCF annual total: "&amp;'Annual Budget'!$E$16&amp;" periods)"</f>
        <v>Grade VII   (stage: middle, NCF annual total: 172 periods)</v>
      </c>
      <c r="B72" s="11"/>
      <c r="C72" s="11"/>
      <c r="D72" s="11"/>
      <c r="E72" s="11"/>
    </row>
    <row r="73" customFormat="false" ht="15" hidden="false" customHeight="true" outlineLevel="0" collapsed="false">
      <c r="A73" s="12" t="s">
        <v>34</v>
      </c>
      <c r="B73" s="12" t="s">
        <v>35</v>
      </c>
      <c r="C73" s="12" t="s">
        <v>36</v>
      </c>
      <c r="D73" s="12" t="s">
        <v>37</v>
      </c>
    </row>
    <row r="74" customFormat="false" ht="15" hidden="false" customHeight="true" outlineLevel="0" collapsed="false">
      <c r="A74" s="13" t="n">
        <v>1</v>
      </c>
      <c r="B74" s="13" t="s">
        <v>180</v>
      </c>
      <c r="C74" s="14" t="n">
        <v>7.5</v>
      </c>
      <c r="D74" s="13" t="n">
        <v>23</v>
      </c>
    </row>
    <row r="75" customFormat="false" ht="15" hidden="false" customHeight="true" outlineLevel="0" collapsed="false">
      <c r="A75" s="13" t="n">
        <v>2</v>
      </c>
      <c r="B75" s="13" t="s">
        <v>181</v>
      </c>
      <c r="C75" s="14" t="n">
        <v>6</v>
      </c>
      <c r="D75" s="13" t="n">
        <v>19</v>
      </c>
    </row>
    <row r="76" customFormat="false" ht="15" hidden="false" customHeight="true" outlineLevel="0" collapsed="false">
      <c r="A76" s="13" t="n">
        <v>3</v>
      </c>
      <c r="B76" s="13" t="s">
        <v>182</v>
      </c>
      <c r="C76" s="14" t="n">
        <v>6</v>
      </c>
      <c r="D76" s="13" t="n">
        <v>19</v>
      </c>
    </row>
    <row r="77" customFormat="false" ht="15" hidden="false" customHeight="true" outlineLevel="0" collapsed="false">
      <c r="A77" s="13" t="n">
        <v>4</v>
      </c>
      <c r="B77" s="13" t="s">
        <v>183</v>
      </c>
      <c r="C77" s="14" t="n">
        <v>6</v>
      </c>
      <c r="D77" s="13" t="n">
        <v>19</v>
      </c>
    </row>
    <row r="78" customFormat="false" ht="15" hidden="false" customHeight="true" outlineLevel="0" collapsed="false">
      <c r="A78" s="13" t="n">
        <v>5</v>
      </c>
      <c r="B78" s="13" t="s">
        <v>184</v>
      </c>
      <c r="C78" s="14" t="n">
        <v>10</v>
      </c>
      <c r="D78" s="13" t="n">
        <v>31</v>
      </c>
    </row>
    <row r="79" customFormat="false" ht="15" hidden="false" customHeight="true" outlineLevel="0" collapsed="false">
      <c r="A79" s="13" t="n">
        <v>6</v>
      </c>
      <c r="B79" s="13" t="s">
        <v>173</v>
      </c>
      <c r="C79" s="14" t="n">
        <v>6</v>
      </c>
      <c r="D79" s="13" t="n">
        <v>18</v>
      </c>
    </row>
    <row r="80" customFormat="false" ht="15" hidden="false" customHeight="true" outlineLevel="0" collapsed="false">
      <c r="A80" s="13" t="n">
        <v>7</v>
      </c>
      <c r="B80" s="13" t="s">
        <v>185</v>
      </c>
      <c r="C80" s="14" t="n">
        <v>8</v>
      </c>
      <c r="D80" s="13" t="n">
        <v>25</v>
      </c>
    </row>
    <row r="81" customFormat="false" ht="15" hidden="false" customHeight="true" outlineLevel="0" collapsed="false">
      <c r="A81" s="13" t="n">
        <v>8</v>
      </c>
      <c r="B81" s="13" t="s">
        <v>186</v>
      </c>
      <c r="C81" s="14" t="n">
        <v>6</v>
      </c>
      <c r="D81" s="13" t="n">
        <v>18</v>
      </c>
    </row>
    <row r="82" customFormat="false" ht="15" hidden="false" customHeight="true" outlineLevel="0" collapsed="false">
      <c r="A82" s="15"/>
      <c r="B82" s="16" t="s">
        <v>50</v>
      </c>
      <c r="C82" s="17" t="n">
        <f aca="false">SUM(C74:C81)</f>
        <v>55.5</v>
      </c>
      <c r="D82" s="16" t="n">
        <f aca="false">SUM(D74:D81)</f>
        <v>172</v>
      </c>
    </row>
    <row r="84" customFormat="false" ht="15" hidden="false" customHeight="true" outlineLevel="0" collapsed="false">
      <c r="A84" s="10" t="str">
        <f aca="false">"Grade VIII   (stage: middle, NCF annual total: "&amp;'Annual Budget'!$E$17&amp;" periods)"</f>
        <v>Grade VIII   (stage: middle, NCF annual total: 172 periods)</v>
      </c>
      <c r="B84" s="11"/>
      <c r="C84" s="11"/>
      <c r="D84" s="11"/>
      <c r="E84" s="11"/>
    </row>
    <row r="85" customFormat="false" ht="15" hidden="false" customHeight="true" outlineLevel="0" collapsed="false">
      <c r="A85" s="12" t="s">
        <v>34</v>
      </c>
      <c r="B85" s="12" t="s">
        <v>35</v>
      </c>
      <c r="C85" s="12" t="s">
        <v>36</v>
      </c>
      <c r="D85" s="12" t="s">
        <v>37</v>
      </c>
    </row>
    <row r="86" customFormat="false" ht="15" hidden="false" customHeight="true" outlineLevel="0" collapsed="false">
      <c r="A86" s="13" t="n">
        <v>1</v>
      </c>
      <c r="B86" s="13" t="s">
        <v>187</v>
      </c>
      <c r="C86" s="14" t="n">
        <v>6</v>
      </c>
      <c r="D86" s="13" t="n">
        <v>8</v>
      </c>
    </row>
    <row r="87" customFormat="false" ht="15" hidden="false" customHeight="true" outlineLevel="0" collapsed="false">
      <c r="A87" s="13" t="n">
        <v>2</v>
      </c>
      <c r="B87" s="13" t="s">
        <v>188</v>
      </c>
      <c r="C87" s="14" t="n">
        <v>8</v>
      </c>
      <c r="D87" s="13" t="n">
        <v>11</v>
      </c>
    </row>
    <row r="88" customFormat="false" ht="15" hidden="false" customHeight="true" outlineLevel="0" collapsed="false">
      <c r="A88" s="13" t="n">
        <v>3</v>
      </c>
      <c r="B88" s="13" t="s">
        <v>189</v>
      </c>
      <c r="C88" s="14" t="n">
        <v>4</v>
      </c>
      <c r="D88" s="13" t="n">
        <v>6</v>
      </c>
    </row>
    <row r="89" customFormat="false" ht="15" hidden="false" customHeight="true" outlineLevel="0" collapsed="false">
      <c r="A89" s="13" t="n">
        <v>4</v>
      </c>
      <c r="B89" s="13" t="s">
        <v>190</v>
      </c>
      <c r="C89" s="14" t="n">
        <v>10</v>
      </c>
      <c r="D89" s="13" t="n">
        <v>14</v>
      </c>
    </row>
    <row r="90" customFormat="false" ht="15" hidden="false" customHeight="true" outlineLevel="0" collapsed="false">
      <c r="A90" s="13" t="n">
        <v>5</v>
      </c>
      <c r="B90" s="13" t="s">
        <v>173</v>
      </c>
      <c r="C90" s="14" t="n">
        <v>8</v>
      </c>
      <c r="D90" s="13" t="n">
        <v>11</v>
      </c>
    </row>
    <row r="91" customFormat="false" ht="15" hidden="false" customHeight="true" outlineLevel="0" collapsed="false">
      <c r="A91" s="13" t="n">
        <v>6</v>
      </c>
      <c r="B91" s="13" t="s">
        <v>191</v>
      </c>
      <c r="C91" s="14" t="n">
        <v>11</v>
      </c>
      <c r="D91" s="13" t="n">
        <v>15</v>
      </c>
    </row>
    <row r="92" customFormat="false" ht="15" hidden="false" customHeight="true" outlineLevel="0" collapsed="false">
      <c r="A92" s="13" t="n">
        <v>7</v>
      </c>
      <c r="B92" s="13" t="s">
        <v>192</v>
      </c>
      <c r="C92" s="14" t="n">
        <v>12</v>
      </c>
      <c r="D92" s="13" t="n">
        <v>17</v>
      </c>
    </row>
    <row r="93" customFormat="false" ht="15" hidden="false" customHeight="true" outlineLevel="0" collapsed="false">
      <c r="A93" s="13" t="n">
        <v>8</v>
      </c>
      <c r="B93" s="13" t="s">
        <v>193</v>
      </c>
      <c r="C93" s="14" t="n">
        <v>10</v>
      </c>
      <c r="D93" s="13" t="n">
        <v>14</v>
      </c>
    </row>
    <row r="94" customFormat="false" ht="15" hidden="false" customHeight="true" outlineLevel="0" collapsed="false">
      <c r="A94" s="13" t="n">
        <v>9</v>
      </c>
      <c r="B94" s="13" t="s">
        <v>194</v>
      </c>
      <c r="C94" s="14" t="n">
        <v>10</v>
      </c>
      <c r="D94" s="13" t="n">
        <v>14</v>
      </c>
    </row>
    <row r="95" customFormat="false" ht="15" hidden="false" customHeight="true" outlineLevel="0" collapsed="false">
      <c r="A95" s="13" t="n">
        <v>10</v>
      </c>
      <c r="B95" s="13" t="s">
        <v>195</v>
      </c>
      <c r="C95" s="14" t="n">
        <v>8</v>
      </c>
      <c r="D95" s="13" t="n">
        <v>11</v>
      </c>
    </row>
    <row r="96" customFormat="false" ht="15" hidden="false" customHeight="true" outlineLevel="0" collapsed="false">
      <c r="A96" s="13" t="n">
        <v>11</v>
      </c>
      <c r="B96" s="13" t="s">
        <v>196</v>
      </c>
      <c r="C96" s="14" t="n">
        <v>12</v>
      </c>
      <c r="D96" s="13" t="n">
        <v>17</v>
      </c>
    </row>
    <row r="97" customFormat="false" ht="15" hidden="false" customHeight="true" outlineLevel="0" collapsed="false">
      <c r="A97" s="13" t="n">
        <v>12</v>
      </c>
      <c r="B97" s="13" t="s">
        <v>197</v>
      </c>
      <c r="C97" s="14" t="n">
        <v>11</v>
      </c>
      <c r="D97" s="13" t="n">
        <v>15</v>
      </c>
    </row>
    <row r="98" customFormat="false" ht="15" hidden="false" customHeight="true" outlineLevel="0" collapsed="false">
      <c r="A98" s="13" t="n">
        <v>13</v>
      </c>
      <c r="B98" s="13" t="s">
        <v>198</v>
      </c>
      <c r="C98" s="14" t="n">
        <v>4</v>
      </c>
      <c r="D98" s="13" t="n">
        <v>5</v>
      </c>
    </row>
    <row r="99" customFormat="false" ht="15" hidden="false" customHeight="true" outlineLevel="0" collapsed="false">
      <c r="A99" s="13" t="n">
        <v>14</v>
      </c>
      <c r="B99" s="13" t="s">
        <v>199</v>
      </c>
      <c r="C99" s="14" t="n">
        <v>10</v>
      </c>
      <c r="D99" s="13" t="n">
        <v>14</v>
      </c>
    </row>
    <row r="100" customFormat="false" ht="15" hidden="false" customHeight="true" outlineLevel="0" collapsed="false">
      <c r="A100" s="15"/>
      <c r="B100" s="16" t="s">
        <v>50</v>
      </c>
      <c r="C100" s="17" t="n">
        <f aca="false">SUM(C86:C99)</f>
        <v>124</v>
      </c>
      <c r="D100" s="16" t="n">
        <f aca="false">SUM(D86:D99)</f>
        <v>172</v>
      </c>
    </row>
    <row r="102" customFormat="false" ht="15" hidden="false" customHeight="true" outlineLevel="0" collapsed="false">
      <c r="A102" s="10" t="str">
        <f aca="false">"Grade IX   (stage: secondary, NCF annual total: "&amp;'Annual Budget'!$E$18&amp;" periods)"</f>
        <v>Grade IX   (stage: secondary, NCF annual total: 162 periods)</v>
      </c>
      <c r="B102" s="11"/>
      <c r="C102" s="11"/>
      <c r="D102" s="11"/>
      <c r="E102" s="11"/>
    </row>
    <row r="103" customFormat="false" ht="15" hidden="false" customHeight="true" outlineLevel="0" collapsed="false">
      <c r="A103" s="12" t="s">
        <v>34</v>
      </c>
      <c r="B103" s="12" t="s">
        <v>35</v>
      </c>
      <c r="C103" s="12" t="s">
        <v>36</v>
      </c>
      <c r="D103" s="12" t="s">
        <v>37</v>
      </c>
    </row>
    <row r="104" customFormat="false" ht="15" hidden="false" customHeight="true" outlineLevel="0" collapsed="false">
      <c r="A104" s="13" t="n">
        <v>1</v>
      </c>
      <c r="B104" s="13" t="s">
        <v>200</v>
      </c>
      <c r="C104" s="14" t="n">
        <v>7.5</v>
      </c>
      <c r="D104" s="13" t="n">
        <v>8</v>
      </c>
    </row>
    <row r="105" customFormat="false" ht="15" hidden="false" customHeight="true" outlineLevel="0" collapsed="false">
      <c r="A105" s="13" t="n">
        <v>2</v>
      </c>
      <c r="B105" s="13" t="s">
        <v>201</v>
      </c>
      <c r="C105" s="14" t="n">
        <v>9</v>
      </c>
      <c r="D105" s="13" t="n">
        <v>9</v>
      </c>
    </row>
    <row r="106" customFormat="false" ht="15" hidden="false" customHeight="true" outlineLevel="0" collapsed="false">
      <c r="A106" s="13" t="n">
        <v>3</v>
      </c>
      <c r="B106" s="13" t="s">
        <v>202</v>
      </c>
      <c r="C106" s="14" t="n">
        <v>15</v>
      </c>
      <c r="D106" s="13" t="n">
        <v>15</v>
      </c>
    </row>
    <row r="107" customFormat="false" ht="15" hidden="false" customHeight="true" outlineLevel="0" collapsed="false">
      <c r="A107" s="13" t="n">
        <v>4</v>
      </c>
      <c r="B107" s="13" t="s">
        <v>203</v>
      </c>
      <c r="C107" s="14" t="n">
        <v>11</v>
      </c>
      <c r="D107" s="13" t="n">
        <v>11</v>
      </c>
    </row>
    <row r="108" customFormat="false" ht="15" hidden="false" customHeight="true" outlineLevel="0" collapsed="false">
      <c r="A108" s="13" t="n">
        <v>5</v>
      </c>
      <c r="B108" s="13" t="s">
        <v>204</v>
      </c>
      <c r="C108" s="14" t="n">
        <v>11.5</v>
      </c>
      <c r="D108" s="13" t="n">
        <v>11</v>
      </c>
    </row>
    <row r="109" customFormat="false" ht="15" hidden="false" customHeight="true" outlineLevel="0" collapsed="false">
      <c r="A109" s="13" t="n">
        <v>6</v>
      </c>
      <c r="B109" s="13" t="s">
        <v>205</v>
      </c>
      <c r="C109" s="14" t="n">
        <v>11</v>
      </c>
      <c r="D109" s="13" t="n">
        <v>11</v>
      </c>
    </row>
    <row r="110" customFormat="false" ht="15" hidden="false" customHeight="true" outlineLevel="0" collapsed="false">
      <c r="A110" s="13" t="n">
        <v>7</v>
      </c>
      <c r="B110" s="13" t="s">
        <v>206</v>
      </c>
      <c r="C110" s="14" t="n">
        <v>7.5</v>
      </c>
      <c r="D110" s="13" t="n">
        <v>8</v>
      </c>
    </row>
    <row r="111" customFormat="false" ht="15" hidden="false" customHeight="true" outlineLevel="0" collapsed="false">
      <c r="A111" s="13" t="n">
        <v>8</v>
      </c>
      <c r="B111" s="13" t="s">
        <v>207</v>
      </c>
      <c r="C111" s="14" t="n">
        <v>9</v>
      </c>
      <c r="D111" s="13" t="n">
        <v>9</v>
      </c>
    </row>
    <row r="112" customFormat="false" ht="15" hidden="false" customHeight="true" outlineLevel="0" collapsed="false">
      <c r="A112" s="13" t="n">
        <v>9</v>
      </c>
      <c r="B112" s="13" t="s">
        <v>208</v>
      </c>
      <c r="C112" s="14" t="n">
        <v>10.1875</v>
      </c>
      <c r="D112" s="13" t="n">
        <v>10</v>
      </c>
    </row>
    <row r="113" customFormat="false" ht="15" hidden="false" customHeight="true" outlineLevel="0" collapsed="false">
      <c r="A113" s="13" t="n">
        <v>10</v>
      </c>
      <c r="B113" s="13" t="s">
        <v>209</v>
      </c>
      <c r="C113" s="14" t="n">
        <v>10.1875</v>
      </c>
      <c r="D113" s="13" t="n">
        <v>10</v>
      </c>
    </row>
    <row r="114" customFormat="false" ht="15" hidden="false" customHeight="true" outlineLevel="0" collapsed="false">
      <c r="A114" s="13" t="n">
        <v>11</v>
      </c>
      <c r="B114" s="13" t="s">
        <v>210</v>
      </c>
      <c r="C114" s="14" t="n">
        <v>10.1875</v>
      </c>
      <c r="D114" s="13" t="n">
        <v>10</v>
      </c>
    </row>
    <row r="115" customFormat="false" ht="15" hidden="false" customHeight="true" outlineLevel="0" collapsed="false">
      <c r="A115" s="13" t="n">
        <v>12</v>
      </c>
      <c r="B115" s="13" t="s">
        <v>211</v>
      </c>
      <c r="C115" s="14" t="n">
        <v>10.1875</v>
      </c>
      <c r="D115" s="13" t="n">
        <v>10</v>
      </c>
    </row>
    <row r="116" customFormat="false" ht="15" hidden="false" customHeight="true" outlineLevel="0" collapsed="false">
      <c r="A116" s="13" t="n">
        <v>13</v>
      </c>
      <c r="B116" s="13" t="s">
        <v>212</v>
      </c>
      <c r="C116" s="14" t="n">
        <v>10.1875</v>
      </c>
      <c r="D116" s="13" t="n">
        <v>10</v>
      </c>
    </row>
    <row r="117" customFormat="false" ht="15" hidden="false" customHeight="true" outlineLevel="0" collapsed="false">
      <c r="A117" s="13" t="n">
        <v>14</v>
      </c>
      <c r="B117" s="13" t="s">
        <v>213</v>
      </c>
      <c r="C117" s="14" t="n">
        <v>10.1875</v>
      </c>
      <c r="D117" s="13" t="n">
        <v>10</v>
      </c>
    </row>
    <row r="118" customFormat="false" ht="15" hidden="false" customHeight="true" outlineLevel="0" collapsed="false">
      <c r="A118" s="13" t="n">
        <v>15</v>
      </c>
      <c r="B118" s="13" t="s">
        <v>214</v>
      </c>
      <c r="C118" s="14" t="n">
        <v>10.1875</v>
      </c>
      <c r="D118" s="13" t="n">
        <v>10</v>
      </c>
    </row>
    <row r="119" customFormat="false" ht="15" hidden="false" customHeight="true" outlineLevel="0" collapsed="false">
      <c r="A119" s="13" t="n">
        <v>16</v>
      </c>
      <c r="B119" s="13" t="s">
        <v>215</v>
      </c>
      <c r="C119" s="14" t="n">
        <v>10.1875</v>
      </c>
      <c r="D119" s="13" t="n">
        <v>10</v>
      </c>
    </row>
    <row r="120" customFormat="false" ht="15" hidden="false" customHeight="true" outlineLevel="0" collapsed="false">
      <c r="A120" s="15"/>
      <c r="B120" s="16" t="s">
        <v>50</v>
      </c>
      <c r="C120" s="17" t="n">
        <f aca="false">SUM(C104:C119)</f>
        <v>163</v>
      </c>
      <c r="D120" s="16" t="n">
        <f aca="false">SUM(D104:D119)</f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216</v>
      </c>
    </row>
    <row r="3" customFormat="false" ht="15" hidden="false" customHeight="true" outlineLevel="0" collapsed="false">
      <c r="A3" s="10" t="str">
        <f aca="false">"Grade VI   (stage: middle, NCF annual total: "&amp;'Annual Budget'!$E$19&amp;" periods)"</f>
        <v>Grade VI   (stage: middle, NCF annual total: 240 periods)</v>
      </c>
      <c r="B3" s="11"/>
      <c r="C3" s="11"/>
      <c r="D3" s="11"/>
      <c r="E3" s="11"/>
    </row>
    <row r="4" customFormat="false" ht="1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</row>
    <row r="5" customFormat="false" ht="15" hidden="false" customHeight="true" outlineLevel="0" collapsed="false">
      <c r="A5" s="13" t="n">
        <v>1</v>
      </c>
      <c r="B5" s="13" t="s">
        <v>217</v>
      </c>
      <c r="C5" s="14" t="n">
        <v>2</v>
      </c>
      <c r="D5" s="13" t="n">
        <v>5</v>
      </c>
    </row>
    <row r="6" customFormat="false" ht="15" hidden="false" customHeight="true" outlineLevel="0" collapsed="false">
      <c r="A6" s="13" t="n">
        <v>2</v>
      </c>
      <c r="B6" s="13" t="s">
        <v>218</v>
      </c>
      <c r="C6" s="14" t="n">
        <v>12</v>
      </c>
      <c r="D6" s="13" t="n">
        <v>28</v>
      </c>
    </row>
    <row r="7" customFormat="false" ht="15" hidden="false" customHeight="true" outlineLevel="0" collapsed="false">
      <c r="A7" s="13" t="n">
        <v>3</v>
      </c>
      <c r="B7" s="13" t="s">
        <v>219</v>
      </c>
      <c r="C7" s="14" t="n">
        <v>9.5</v>
      </c>
      <c r="D7" s="13" t="n">
        <v>22</v>
      </c>
    </row>
    <row r="8" customFormat="false" ht="15" hidden="false" customHeight="true" outlineLevel="0" collapsed="false">
      <c r="A8" s="13" t="n">
        <v>4</v>
      </c>
      <c r="B8" s="13" t="s">
        <v>220</v>
      </c>
      <c r="C8" s="14" t="n">
        <v>8</v>
      </c>
      <c r="D8" s="13" t="n">
        <v>18</v>
      </c>
    </row>
    <row r="9" customFormat="false" ht="15" hidden="false" customHeight="true" outlineLevel="0" collapsed="false">
      <c r="A9" s="13" t="n">
        <v>5</v>
      </c>
      <c r="B9" s="13" t="s">
        <v>221</v>
      </c>
      <c r="C9" s="14" t="n">
        <v>8</v>
      </c>
      <c r="D9" s="13" t="n">
        <v>18</v>
      </c>
    </row>
    <row r="10" customFormat="false" ht="15" hidden="false" customHeight="true" outlineLevel="0" collapsed="false">
      <c r="A10" s="13" t="n">
        <v>6</v>
      </c>
      <c r="B10" s="13" t="s">
        <v>222</v>
      </c>
      <c r="C10" s="14" t="n">
        <v>8</v>
      </c>
      <c r="D10" s="13" t="n">
        <v>18</v>
      </c>
    </row>
    <row r="11" customFormat="false" ht="15" hidden="false" customHeight="true" outlineLevel="0" collapsed="false">
      <c r="A11" s="13" t="n">
        <v>7</v>
      </c>
      <c r="B11" s="13" t="s">
        <v>223</v>
      </c>
      <c r="C11" s="14" t="n">
        <v>7.5</v>
      </c>
      <c r="D11" s="13" t="n">
        <v>17</v>
      </c>
    </row>
    <row r="12" customFormat="false" ht="15" hidden="false" customHeight="true" outlineLevel="0" collapsed="false">
      <c r="A12" s="13" t="n">
        <v>8</v>
      </c>
      <c r="B12" s="13" t="s">
        <v>224</v>
      </c>
      <c r="C12" s="14" t="n">
        <v>12</v>
      </c>
      <c r="D12" s="13" t="n">
        <v>28</v>
      </c>
    </row>
    <row r="13" customFormat="false" ht="15" hidden="false" customHeight="true" outlineLevel="0" collapsed="false">
      <c r="A13" s="13" t="n">
        <v>9</v>
      </c>
      <c r="B13" s="13" t="s">
        <v>225</v>
      </c>
      <c r="C13" s="14" t="n">
        <v>11.5</v>
      </c>
      <c r="D13" s="13" t="n">
        <v>27</v>
      </c>
    </row>
    <row r="14" customFormat="false" ht="15" hidden="false" customHeight="true" outlineLevel="0" collapsed="false">
      <c r="A14" s="13" t="n">
        <v>10</v>
      </c>
      <c r="B14" s="13" t="s">
        <v>226</v>
      </c>
      <c r="C14" s="14" t="n">
        <v>10</v>
      </c>
      <c r="D14" s="13" t="n">
        <v>23</v>
      </c>
    </row>
    <row r="15" customFormat="false" ht="15" hidden="false" customHeight="true" outlineLevel="0" collapsed="false">
      <c r="A15" s="13" t="n">
        <v>11</v>
      </c>
      <c r="B15" s="13" t="s">
        <v>227</v>
      </c>
      <c r="C15" s="14" t="n">
        <v>8</v>
      </c>
      <c r="D15" s="13" t="n">
        <v>18</v>
      </c>
    </row>
    <row r="16" customFormat="false" ht="15" hidden="false" customHeight="true" outlineLevel="0" collapsed="false">
      <c r="A16" s="13" t="n">
        <v>12</v>
      </c>
      <c r="B16" s="13" t="s">
        <v>228</v>
      </c>
      <c r="C16" s="14" t="n">
        <v>8</v>
      </c>
      <c r="D16" s="13" t="n">
        <v>18</v>
      </c>
    </row>
    <row r="17" customFormat="false" ht="15" hidden="false" customHeight="true" outlineLevel="0" collapsed="false">
      <c r="A17" s="15"/>
      <c r="B17" s="16" t="s">
        <v>50</v>
      </c>
      <c r="C17" s="17" t="n">
        <f aca="false">SUM(C5:C16)</f>
        <v>104.5</v>
      </c>
      <c r="D17" s="16" t="n">
        <f aca="false">SUM(D5:D16)</f>
        <v>240</v>
      </c>
    </row>
    <row r="19" customFormat="false" ht="15" hidden="false" customHeight="true" outlineLevel="0" collapsed="false">
      <c r="A19" s="10" t="str">
        <f aca="false">"Grade VII   (stage: middle, NCF annual total: "&amp;'Annual Budget'!$E$20&amp;" periods)"</f>
        <v>Grade VII   (stage: middle, NCF annual total: 240 periods)</v>
      </c>
      <c r="B19" s="11"/>
      <c r="C19" s="11"/>
      <c r="D19" s="11"/>
      <c r="E19" s="11"/>
    </row>
    <row r="20" customFormat="false" ht="15" hidden="false" customHeight="true" outlineLevel="0" collapsed="false">
      <c r="A20" s="12" t="s">
        <v>34</v>
      </c>
      <c r="B20" s="12" t="s">
        <v>35</v>
      </c>
      <c r="C20" s="12" t="s">
        <v>36</v>
      </c>
      <c r="D20" s="12" t="s">
        <v>37</v>
      </c>
    </row>
    <row r="21" customFormat="false" ht="15" hidden="false" customHeight="true" outlineLevel="0" collapsed="false">
      <c r="A21" s="13" t="n">
        <v>1</v>
      </c>
      <c r="B21" s="13" t="s">
        <v>229</v>
      </c>
      <c r="C21" s="14" t="n">
        <v>4</v>
      </c>
      <c r="D21" s="13" t="n">
        <v>10</v>
      </c>
    </row>
    <row r="22" customFormat="false" ht="15" hidden="false" customHeight="true" outlineLevel="0" collapsed="false">
      <c r="A22" s="13" t="n">
        <v>2</v>
      </c>
      <c r="B22" s="13" t="s">
        <v>230</v>
      </c>
      <c r="C22" s="14" t="n">
        <v>8</v>
      </c>
      <c r="D22" s="13" t="n">
        <v>19</v>
      </c>
    </row>
    <row r="23" customFormat="false" ht="15" hidden="false" customHeight="true" outlineLevel="0" collapsed="false">
      <c r="A23" s="13" t="n">
        <v>3</v>
      </c>
      <c r="B23" s="13" t="s">
        <v>231</v>
      </c>
      <c r="C23" s="14" t="n">
        <v>10</v>
      </c>
      <c r="D23" s="13" t="n">
        <v>24</v>
      </c>
    </row>
    <row r="24" customFormat="false" ht="15" hidden="false" customHeight="true" outlineLevel="0" collapsed="false">
      <c r="A24" s="13" t="n">
        <v>4</v>
      </c>
      <c r="B24" s="13" t="s">
        <v>232</v>
      </c>
      <c r="C24" s="14" t="n">
        <v>9.5</v>
      </c>
      <c r="D24" s="13" t="n">
        <v>23</v>
      </c>
    </row>
    <row r="25" customFormat="false" ht="15" hidden="false" customHeight="true" outlineLevel="0" collapsed="false">
      <c r="A25" s="13" t="n">
        <v>5</v>
      </c>
      <c r="B25" s="13" t="s">
        <v>233</v>
      </c>
      <c r="C25" s="14" t="n">
        <v>8</v>
      </c>
      <c r="D25" s="13" t="n">
        <v>19</v>
      </c>
    </row>
    <row r="26" customFormat="false" ht="15" hidden="false" customHeight="true" outlineLevel="0" collapsed="false">
      <c r="A26" s="13" t="n">
        <v>6</v>
      </c>
      <c r="B26" s="13" t="s">
        <v>234</v>
      </c>
      <c r="C26" s="14" t="n">
        <v>6</v>
      </c>
      <c r="D26" s="13" t="n">
        <v>15</v>
      </c>
    </row>
    <row r="27" customFormat="false" ht="15" hidden="false" customHeight="true" outlineLevel="0" collapsed="false">
      <c r="A27" s="13" t="n">
        <v>7</v>
      </c>
      <c r="B27" s="13" t="s">
        <v>235</v>
      </c>
      <c r="C27" s="14" t="n">
        <v>8</v>
      </c>
      <c r="D27" s="13" t="n">
        <v>19</v>
      </c>
    </row>
    <row r="28" customFormat="false" ht="15" hidden="false" customHeight="true" outlineLevel="0" collapsed="false">
      <c r="A28" s="13" t="n">
        <v>8</v>
      </c>
      <c r="B28" s="13" t="s">
        <v>236</v>
      </c>
      <c r="C28" s="14" t="n">
        <v>8</v>
      </c>
      <c r="D28" s="13" t="n">
        <v>19</v>
      </c>
    </row>
    <row r="29" customFormat="false" ht="15" hidden="false" customHeight="true" outlineLevel="0" collapsed="false">
      <c r="A29" s="13" t="n">
        <v>9</v>
      </c>
      <c r="B29" s="13" t="s">
        <v>237</v>
      </c>
      <c r="C29" s="14" t="n">
        <v>9.5</v>
      </c>
      <c r="D29" s="13" t="n">
        <v>23</v>
      </c>
    </row>
    <row r="30" customFormat="false" ht="15" hidden="false" customHeight="true" outlineLevel="0" collapsed="false">
      <c r="A30" s="13" t="n">
        <v>10</v>
      </c>
      <c r="B30" s="13" t="s">
        <v>238</v>
      </c>
      <c r="C30" s="14" t="n">
        <v>11</v>
      </c>
      <c r="D30" s="13" t="n">
        <v>26</v>
      </c>
    </row>
    <row r="31" customFormat="false" ht="15" hidden="false" customHeight="true" outlineLevel="0" collapsed="false">
      <c r="A31" s="13" t="n">
        <v>11</v>
      </c>
      <c r="B31" s="13" t="s">
        <v>239</v>
      </c>
      <c r="C31" s="14" t="n">
        <v>10</v>
      </c>
      <c r="D31" s="13" t="n">
        <v>24</v>
      </c>
    </row>
    <row r="32" customFormat="false" ht="15" hidden="false" customHeight="true" outlineLevel="0" collapsed="false">
      <c r="A32" s="13" t="n">
        <v>12</v>
      </c>
      <c r="B32" s="13" t="s">
        <v>240</v>
      </c>
      <c r="C32" s="14" t="n">
        <v>8</v>
      </c>
      <c r="D32" s="13" t="n">
        <v>19</v>
      </c>
    </row>
    <row r="33" customFormat="false" ht="15" hidden="false" customHeight="true" outlineLevel="0" collapsed="false">
      <c r="A33" s="15"/>
      <c r="B33" s="16" t="s">
        <v>50</v>
      </c>
      <c r="C33" s="17" t="n">
        <f aca="false">SUM(C21:C32)</f>
        <v>100</v>
      </c>
      <c r="D33" s="16" t="n">
        <f aca="false">SUM(D21:D32)</f>
        <v>240</v>
      </c>
    </row>
    <row r="35" customFormat="false" ht="15" hidden="false" customHeight="true" outlineLevel="0" collapsed="false">
      <c r="A35" s="10" t="str">
        <f aca="false">"Grade VIII   (stage: middle, NCF annual total: "&amp;'Annual Budget'!$E$21&amp;" periods)"</f>
        <v>Grade VIII   (stage: middle, NCF annual total: 240 periods)</v>
      </c>
      <c r="B35" s="11"/>
      <c r="C35" s="11"/>
      <c r="D35" s="11"/>
      <c r="E35" s="11"/>
    </row>
    <row r="36" customFormat="false" ht="15" hidden="false" customHeight="true" outlineLevel="0" collapsed="false">
      <c r="A36" s="12" t="s">
        <v>34</v>
      </c>
      <c r="B36" s="12" t="s">
        <v>35</v>
      </c>
      <c r="C36" s="12" t="s">
        <v>36</v>
      </c>
      <c r="D36" s="12" t="s">
        <v>37</v>
      </c>
    </row>
    <row r="37" customFormat="false" ht="15" hidden="false" customHeight="true" outlineLevel="0" collapsed="false">
      <c r="A37" s="13" t="n">
        <v>1</v>
      </c>
      <c r="B37" s="13" t="s">
        <v>241</v>
      </c>
      <c r="C37" s="14" t="n">
        <v>4</v>
      </c>
      <c r="D37" s="13" t="n">
        <v>8</v>
      </c>
    </row>
    <row r="38" customFormat="false" ht="15" hidden="false" customHeight="true" outlineLevel="0" collapsed="false">
      <c r="A38" s="13" t="n">
        <v>2</v>
      </c>
      <c r="B38" s="13" t="s">
        <v>242</v>
      </c>
      <c r="C38" s="14" t="n">
        <v>11.5</v>
      </c>
      <c r="D38" s="13" t="n">
        <v>23</v>
      </c>
    </row>
    <row r="39" customFormat="false" ht="15" hidden="false" customHeight="true" outlineLevel="0" collapsed="false">
      <c r="A39" s="13" t="n">
        <v>3</v>
      </c>
      <c r="B39" s="13" t="s">
        <v>243</v>
      </c>
      <c r="C39" s="14" t="n">
        <v>6</v>
      </c>
      <c r="D39" s="13" t="n">
        <v>12</v>
      </c>
    </row>
    <row r="40" customFormat="false" ht="15" hidden="false" customHeight="true" outlineLevel="0" collapsed="false">
      <c r="A40" s="13" t="n">
        <v>4</v>
      </c>
      <c r="B40" s="13" t="s">
        <v>244</v>
      </c>
      <c r="C40" s="14" t="n">
        <v>10</v>
      </c>
      <c r="D40" s="13" t="n">
        <v>20</v>
      </c>
    </row>
    <row r="41" customFormat="false" ht="15" hidden="false" customHeight="true" outlineLevel="0" collapsed="false">
      <c r="A41" s="13" t="n">
        <v>5</v>
      </c>
      <c r="B41" s="13" t="s">
        <v>245</v>
      </c>
      <c r="C41" s="14" t="n">
        <v>12</v>
      </c>
      <c r="D41" s="13" t="n">
        <v>24</v>
      </c>
    </row>
    <row r="42" customFormat="false" ht="15" hidden="false" customHeight="true" outlineLevel="0" collapsed="false">
      <c r="A42" s="13" t="n">
        <v>6</v>
      </c>
      <c r="B42" s="13" t="s">
        <v>246</v>
      </c>
      <c r="C42" s="14" t="n">
        <v>8</v>
      </c>
      <c r="D42" s="13" t="n">
        <v>16</v>
      </c>
    </row>
    <row r="43" customFormat="false" ht="15" hidden="false" customHeight="true" outlineLevel="0" collapsed="false">
      <c r="A43" s="13" t="n">
        <v>7</v>
      </c>
      <c r="B43" s="13" t="s">
        <v>247</v>
      </c>
      <c r="C43" s="14" t="n">
        <v>12</v>
      </c>
      <c r="D43" s="13" t="n">
        <v>23</v>
      </c>
    </row>
    <row r="44" customFormat="false" ht="15" hidden="false" customHeight="true" outlineLevel="0" collapsed="false">
      <c r="A44" s="13" t="n">
        <v>8</v>
      </c>
      <c r="B44" s="13" t="s">
        <v>248</v>
      </c>
      <c r="C44" s="14" t="n">
        <v>9.5</v>
      </c>
      <c r="D44" s="13" t="n">
        <v>19</v>
      </c>
    </row>
    <row r="45" customFormat="false" ht="15" hidden="false" customHeight="true" outlineLevel="0" collapsed="false">
      <c r="A45" s="13" t="n">
        <v>9</v>
      </c>
      <c r="B45" s="13" t="s">
        <v>249</v>
      </c>
      <c r="C45" s="14" t="n">
        <v>11.5</v>
      </c>
      <c r="D45" s="13" t="n">
        <v>23</v>
      </c>
    </row>
    <row r="46" customFormat="false" ht="15" hidden="false" customHeight="true" outlineLevel="0" collapsed="false">
      <c r="A46" s="13" t="n">
        <v>10</v>
      </c>
      <c r="B46" s="13" t="s">
        <v>250</v>
      </c>
      <c r="C46" s="14" t="n">
        <v>10</v>
      </c>
      <c r="D46" s="13" t="n">
        <v>20</v>
      </c>
    </row>
    <row r="47" customFormat="false" ht="15" hidden="false" customHeight="true" outlineLevel="0" collapsed="false">
      <c r="A47" s="13" t="n">
        <v>11</v>
      </c>
      <c r="B47" s="13" t="s">
        <v>251</v>
      </c>
      <c r="C47" s="14" t="n">
        <v>10</v>
      </c>
      <c r="D47" s="13" t="n">
        <v>20</v>
      </c>
    </row>
    <row r="48" customFormat="false" ht="15" hidden="false" customHeight="true" outlineLevel="0" collapsed="false">
      <c r="A48" s="13" t="n">
        <v>12</v>
      </c>
      <c r="B48" s="13" t="s">
        <v>252</v>
      </c>
      <c r="C48" s="14" t="n">
        <v>8</v>
      </c>
      <c r="D48" s="13" t="n">
        <v>16</v>
      </c>
    </row>
    <row r="49" customFormat="false" ht="15" hidden="false" customHeight="true" outlineLevel="0" collapsed="false">
      <c r="A49" s="13" t="n">
        <v>13</v>
      </c>
      <c r="B49" s="13" t="s">
        <v>253</v>
      </c>
      <c r="C49" s="14" t="n">
        <v>8</v>
      </c>
      <c r="D49" s="13" t="n">
        <v>16</v>
      </c>
    </row>
    <row r="50" customFormat="false" ht="15" hidden="false" customHeight="true" outlineLevel="0" collapsed="false">
      <c r="A50" s="15"/>
      <c r="B50" s="16" t="s">
        <v>50</v>
      </c>
      <c r="C50" s="17" t="n">
        <f aca="false">SUM(C37:C49)</f>
        <v>120.5</v>
      </c>
      <c r="D50" s="16" t="n">
        <f aca="false">SUM(D37:D49)</f>
        <v>240</v>
      </c>
    </row>
    <row r="52" customFormat="false" ht="15" hidden="false" customHeight="true" outlineLevel="0" collapsed="false">
      <c r="A52" s="10" t="str">
        <f aca="false">"Grade IX   (stage: secondary, NCF annual total: "&amp;'Annual Budget'!$E$22&amp;" periods)"</f>
        <v>Grade IX   (stage: secondary, NCF annual total: 162 periods)</v>
      </c>
      <c r="B52" s="11"/>
      <c r="C52" s="11"/>
      <c r="D52" s="11"/>
      <c r="E52" s="11"/>
    </row>
    <row r="53" customFormat="false" ht="15" hidden="false" customHeight="true" outlineLevel="0" collapsed="false">
      <c r="A53" s="12" t="s">
        <v>34</v>
      </c>
      <c r="B53" s="12" t="s">
        <v>35</v>
      </c>
      <c r="C53" s="12" t="s">
        <v>36</v>
      </c>
      <c r="D53" s="12" t="s">
        <v>37</v>
      </c>
    </row>
    <row r="54" customFormat="false" ht="15" hidden="false" customHeight="true" outlineLevel="0" collapsed="false">
      <c r="A54" s="13" t="n">
        <v>1</v>
      </c>
      <c r="B54" s="13" t="s">
        <v>254</v>
      </c>
      <c r="C54" s="14" t="n">
        <v>4</v>
      </c>
      <c r="D54" s="13" t="n">
        <v>5</v>
      </c>
    </row>
    <row r="55" customFormat="false" ht="15" hidden="false" customHeight="true" outlineLevel="0" collapsed="false">
      <c r="A55" s="13" t="n">
        <v>2</v>
      </c>
      <c r="B55" s="13" t="s">
        <v>255</v>
      </c>
      <c r="C55" s="14" t="n">
        <v>10</v>
      </c>
      <c r="D55" s="13" t="n">
        <v>12</v>
      </c>
    </row>
    <row r="56" customFormat="false" ht="15" hidden="false" customHeight="true" outlineLevel="0" collapsed="false">
      <c r="A56" s="13" t="n">
        <v>3</v>
      </c>
      <c r="B56" s="13" t="s">
        <v>256</v>
      </c>
      <c r="C56" s="14" t="n">
        <v>10</v>
      </c>
      <c r="D56" s="13" t="n">
        <v>12</v>
      </c>
    </row>
    <row r="57" customFormat="false" ht="15" hidden="false" customHeight="true" outlineLevel="0" collapsed="false">
      <c r="A57" s="13" t="n">
        <v>4</v>
      </c>
      <c r="B57" s="13" t="s">
        <v>257</v>
      </c>
      <c r="C57" s="14" t="n">
        <v>14</v>
      </c>
      <c r="D57" s="13" t="n">
        <v>17</v>
      </c>
    </row>
    <row r="58" customFormat="false" ht="15" hidden="false" customHeight="true" outlineLevel="0" collapsed="false">
      <c r="A58" s="13" t="n">
        <v>5</v>
      </c>
      <c r="B58" s="13" t="s">
        <v>258</v>
      </c>
      <c r="C58" s="14" t="n">
        <v>12</v>
      </c>
      <c r="D58" s="13" t="n">
        <v>14</v>
      </c>
    </row>
    <row r="59" customFormat="false" ht="15" hidden="false" customHeight="true" outlineLevel="0" collapsed="false">
      <c r="A59" s="13" t="n">
        <v>6</v>
      </c>
      <c r="B59" s="13" t="s">
        <v>259</v>
      </c>
      <c r="C59" s="14" t="n">
        <v>13.5</v>
      </c>
      <c r="D59" s="13" t="n">
        <v>16</v>
      </c>
    </row>
    <row r="60" customFormat="false" ht="15" hidden="false" customHeight="true" outlineLevel="0" collapsed="false">
      <c r="A60" s="13" t="n">
        <v>7</v>
      </c>
      <c r="B60" s="13" t="s">
        <v>260</v>
      </c>
      <c r="C60" s="14" t="n">
        <v>14</v>
      </c>
      <c r="D60" s="13" t="n">
        <v>16</v>
      </c>
    </row>
    <row r="61" customFormat="false" ht="15" hidden="false" customHeight="true" outlineLevel="0" collapsed="false">
      <c r="A61" s="13" t="n">
        <v>8</v>
      </c>
      <c r="B61" s="13" t="s">
        <v>261</v>
      </c>
      <c r="C61" s="14" t="n">
        <v>8</v>
      </c>
      <c r="D61" s="13" t="n">
        <v>9</v>
      </c>
    </row>
    <row r="62" customFormat="false" ht="15" hidden="false" customHeight="true" outlineLevel="0" collapsed="false">
      <c r="A62" s="13" t="n">
        <v>9</v>
      </c>
      <c r="B62" s="13" t="s">
        <v>262</v>
      </c>
      <c r="C62" s="14" t="n">
        <v>14</v>
      </c>
      <c r="D62" s="13" t="n">
        <v>16</v>
      </c>
    </row>
    <row r="63" customFormat="false" ht="15" hidden="false" customHeight="true" outlineLevel="0" collapsed="false">
      <c r="A63" s="13" t="n">
        <v>10</v>
      </c>
      <c r="B63" s="13" t="s">
        <v>263</v>
      </c>
      <c r="C63" s="14" t="n">
        <v>11.5</v>
      </c>
      <c r="D63" s="13" t="n">
        <v>14</v>
      </c>
    </row>
    <row r="64" customFormat="false" ht="15" hidden="false" customHeight="true" outlineLevel="0" collapsed="false">
      <c r="A64" s="13" t="n">
        <v>11</v>
      </c>
      <c r="B64" s="13" t="s">
        <v>264</v>
      </c>
      <c r="C64" s="14" t="n">
        <v>10</v>
      </c>
      <c r="D64" s="13" t="n">
        <v>12</v>
      </c>
    </row>
    <row r="65" customFormat="false" ht="15" hidden="false" customHeight="true" outlineLevel="0" collapsed="false">
      <c r="A65" s="13" t="n">
        <v>12</v>
      </c>
      <c r="B65" s="13" t="s">
        <v>265</v>
      </c>
      <c r="C65" s="14" t="n">
        <v>10</v>
      </c>
      <c r="D65" s="13" t="n">
        <v>12</v>
      </c>
    </row>
    <row r="66" customFormat="false" ht="15" hidden="false" customHeight="true" outlineLevel="0" collapsed="false">
      <c r="A66" s="13" t="n">
        <v>13</v>
      </c>
      <c r="B66" s="13" t="s">
        <v>266</v>
      </c>
      <c r="C66" s="14" t="n">
        <v>6</v>
      </c>
      <c r="D66" s="13" t="n">
        <v>7</v>
      </c>
    </row>
    <row r="67" customFormat="false" ht="15" hidden="false" customHeight="true" outlineLevel="0" collapsed="false">
      <c r="A67" s="15"/>
      <c r="B67" s="16" t="s">
        <v>50</v>
      </c>
      <c r="C67" s="17" t="n">
        <f aca="false">SUM(C54:C66)</f>
        <v>137</v>
      </c>
      <c r="D67" s="16" t="n">
        <f aca="false">SUM(D54:D66)</f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267</v>
      </c>
    </row>
    <row r="3" customFormat="false" ht="15" hidden="false" customHeight="true" outlineLevel="0" collapsed="false">
      <c r="A3" s="10" t="str">
        <f aca="false">"Grade VI   (stage: middle, NCF annual total: "&amp;'Annual Budget'!$E$23&amp;" periods)"</f>
        <v>Grade VI   (stage: middle, NCF annual total: 240 periods)</v>
      </c>
      <c r="B3" s="11"/>
      <c r="C3" s="11"/>
      <c r="D3" s="11"/>
      <c r="E3" s="11"/>
    </row>
    <row r="4" customFormat="false" ht="1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</row>
    <row r="5" customFormat="false" ht="15" hidden="false" customHeight="true" outlineLevel="0" collapsed="false">
      <c r="A5" s="13" t="n">
        <v>1</v>
      </c>
      <c r="B5" s="13" t="s">
        <v>268</v>
      </c>
      <c r="C5" s="14" t="n">
        <v>5</v>
      </c>
      <c r="D5" s="13" t="n">
        <v>11</v>
      </c>
    </row>
    <row r="6" customFormat="false" ht="15" hidden="false" customHeight="true" outlineLevel="0" collapsed="false">
      <c r="A6" s="13" t="n">
        <v>2</v>
      </c>
      <c r="B6" s="13" t="s">
        <v>269</v>
      </c>
      <c r="C6" s="14" t="n">
        <v>8</v>
      </c>
      <c r="D6" s="13" t="n">
        <v>17</v>
      </c>
    </row>
    <row r="7" customFormat="false" ht="15" hidden="false" customHeight="true" outlineLevel="0" collapsed="false">
      <c r="A7" s="13" t="n">
        <v>3</v>
      </c>
      <c r="B7" s="13" t="s">
        <v>270</v>
      </c>
      <c r="C7" s="14" t="n">
        <v>9</v>
      </c>
      <c r="D7" s="13" t="n">
        <v>19</v>
      </c>
    </row>
    <row r="8" customFormat="false" ht="15" hidden="false" customHeight="true" outlineLevel="0" collapsed="false">
      <c r="A8" s="13" t="n">
        <v>4</v>
      </c>
      <c r="B8" s="13" t="s">
        <v>271</v>
      </c>
      <c r="C8" s="14" t="n">
        <v>8</v>
      </c>
      <c r="D8" s="13" t="n">
        <v>17</v>
      </c>
    </row>
    <row r="9" customFormat="false" ht="15" hidden="false" customHeight="true" outlineLevel="0" collapsed="false">
      <c r="A9" s="13" t="n">
        <v>5</v>
      </c>
      <c r="B9" s="13" t="s">
        <v>272</v>
      </c>
      <c r="C9" s="14" t="n">
        <v>7</v>
      </c>
      <c r="D9" s="13" t="n">
        <v>15</v>
      </c>
    </row>
    <row r="10" customFormat="false" ht="15" hidden="false" customHeight="true" outlineLevel="0" collapsed="false">
      <c r="A10" s="13" t="n">
        <v>6</v>
      </c>
      <c r="B10" s="13" t="s">
        <v>273</v>
      </c>
      <c r="C10" s="14" t="n">
        <v>13</v>
      </c>
      <c r="D10" s="13" t="n">
        <v>27</v>
      </c>
    </row>
    <row r="11" customFormat="false" ht="15" hidden="false" customHeight="true" outlineLevel="0" collapsed="false">
      <c r="A11" s="13" t="n">
        <v>7</v>
      </c>
      <c r="B11" s="13" t="s">
        <v>274</v>
      </c>
      <c r="C11" s="14" t="n">
        <v>12</v>
      </c>
      <c r="D11" s="13" t="n">
        <v>25</v>
      </c>
    </row>
    <row r="12" customFormat="false" ht="15" hidden="false" customHeight="true" outlineLevel="0" collapsed="false">
      <c r="A12" s="13" t="n">
        <v>8</v>
      </c>
      <c r="B12" s="13" t="s">
        <v>275</v>
      </c>
      <c r="C12" s="14" t="n">
        <v>7</v>
      </c>
      <c r="D12" s="13" t="n">
        <v>15</v>
      </c>
    </row>
    <row r="13" customFormat="false" ht="15" hidden="false" customHeight="true" outlineLevel="0" collapsed="false">
      <c r="A13" s="13" t="n">
        <v>9</v>
      </c>
      <c r="B13" s="13" t="s">
        <v>276</v>
      </c>
      <c r="C13" s="14" t="n">
        <v>8</v>
      </c>
      <c r="D13" s="13" t="n">
        <v>17</v>
      </c>
    </row>
    <row r="14" customFormat="false" ht="15" hidden="false" customHeight="true" outlineLevel="0" collapsed="false">
      <c r="A14" s="13" t="n">
        <v>10</v>
      </c>
      <c r="B14" s="13" t="s">
        <v>277</v>
      </c>
      <c r="C14" s="14" t="n">
        <v>8</v>
      </c>
      <c r="D14" s="13" t="n">
        <v>17</v>
      </c>
    </row>
    <row r="15" customFormat="false" ht="15" hidden="false" customHeight="true" outlineLevel="0" collapsed="false">
      <c r="A15" s="13" t="n">
        <v>11</v>
      </c>
      <c r="B15" s="13" t="s">
        <v>278</v>
      </c>
      <c r="C15" s="14" t="n">
        <v>10</v>
      </c>
      <c r="D15" s="13" t="n">
        <v>21</v>
      </c>
    </row>
    <row r="16" customFormat="false" ht="15" hidden="false" customHeight="true" outlineLevel="0" collapsed="false">
      <c r="A16" s="13" t="n">
        <v>12</v>
      </c>
      <c r="B16" s="13" t="s">
        <v>279</v>
      </c>
      <c r="C16" s="14" t="n">
        <v>7</v>
      </c>
      <c r="D16" s="13" t="n">
        <v>15</v>
      </c>
    </row>
    <row r="17" customFormat="false" ht="15" hidden="false" customHeight="true" outlineLevel="0" collapsed="false">
      <c r="A17" s="13" t="n">
        <v>13</v>
      </c>
      <c r="B17" s="13" t="s">
        <v>280</v>
      </c>
      <c r="C17" s="14" t="n">
        <v>6</v>
      </c>
      <c r="D17" s="13" t="n">
        <v>13</v>
      </c>
    </row>
    <row r="18" customFormat="false" ht="15" hidden="false" customHeight="true" outlineLevel="0" collapsed="false">
      <c r="A18" s="13" t="n">
        <v>14</v>
      </c>
      <c r="B18" s="13" t="s">
        <v>281</v>
      </c>
      <c r="C18" s="14" t="n">
        <v>5</v>
      </c>
      <c r="D18" s="13" t="n">
        <v>11</v>
      </c>
    </row>
    <row r="19" customFormat="false" ht="15" hidden="false" customHeight="true" outlineLevel="0" collapsed="false">
      <c r="A19" s="15"/>
      <c r="B19" s="16" t="s">
        <v>50</v>
      </c>
      <c r="C19" s="17" t="n">
        <f aca="false">SUM(C5:C18)</f>
        <v>113</v>
      </c>
      <c r="D19" s="16" t="n">
        <f aca="false">SUM(D5:D18)</f>
        <v>240</v>
      </c>
    </row>
    <row r="21" customFormat="false" ht="15" hidden="false" customHeight="true" outlineLevel="0" collapsed="false">
      <c r="A21" s="10" t="str">
        <f aca="false">"Grade VII   (stage: middle, NCF annual total: "&amp;'Annual Budget'!$E$24&amp;" periods)"</f>
        <v>Grade VII   (stage: middle, NCF annual total: 240 periods)</v>
      </c>
      <c r="B21" s="11"/>
      <c r="C21" s="11"/>
      <c r="D21" s="11"/>
      <c r="E21" s="11"/>
    </row>
    <row r="22" customFormat="false" ht="15" hidden="false" customHeight="true" outlineLevel="0" collapsed="false">
      <c r="A22" s="12" t="s">
        <v>34</v>
      </c>
      <c r="B22" s="12" t="s">
        <v>35</v>
      </c>
      <c r="C22" s="12" t="s">
        <v>36</v>
      </c>
      <c r="D22" s="12" t="s">
        <v>37</v>
      </c>
    </row>
    <row r="23" customFormat="false" ht="15" hidden="false" customHeight="true" outlineLevel="0" collapsed="false">
      <c r="A23" s="13" t="n">
        <v>1</v>
      </c>
      <c r="B23" s="13" t="s">
        <v>282</v>
      </c>
      <c r="C23" s="14" t="n">
        <v>8</v>
      </c>
      <c r="D23" s="13" t="n">
        <v>21</v>
      </c>
    </row>
    <row r="24" customFormat="false" ht="15" hidden="false" customHeight="true" outlineLevel="0" collapsed="false">
      <c r="A24" s="13" t="n">
        <v>2</v>
      </c>
      <c r="B24" s="13" t="s">
        <v>283</v>
      </c>
      <c r="C24" s="14" t="n">
        <v>4</v>
      </c>
      <c r="D24" s="13" t="n">
        <v>11</v>
      </c>
    </row>
    <row r="25" customFormat="false" ht="15" hidden="false" customHeight="true" outlineLevel="0" collapsed="false">
      <c r="A25" s="13" t="n">
        <v>3</v>
      </c>
      <c r="B25" s="13" t="s">
        <v>284</v>
      </c>
      <c r="C25" s="14" t="n">
        <v>9</v>
      </c>
      <c r="D25" s="13" t="n">
        <v>24</v>
      </c>
    </row>
    <row r="26" customFormat="false" ht="15" hidden="false" customHeight="true" outlineLevel="0" collapsed="false">
      <c r="A26" s="13" t="n">
        <v>4</v>
      </c>
      <c r="B26" s="13" t="s">
        <v>285</v>
      </c>
      <c r="C26" s="14" t="n">
        <v>8</v>
      </c>
      <c r="D26" s="13" t="n">
        <v>21</v>
      </c>
    </row>
    <row r="27" customFormat="false" ht="15" hidden="false" customHeight="true" outlineLevel="0" collapsed="false">
      <c r="A27" s="13" t="n">
        <v>5</v>
      </c>
      <c r="B27" s="13" t="s">
        <v>286</v>
      </c>
      <c r="C27" s="14" t="n">
        <v>8</v>
      </c>
      <c r="D27" s="13" t="n">
        <v>21</v>
      </c>
    </row>
    <row r="28" customFormat="false" ht="15" hidden="false" customHeight="true" outlineLevel="0" collapsed="false">
      <c r="A28" s="13" t="n">
        <v>6</v>
      </c>
      <c r="B28" s="13" t="s">
        <v>287</v>
      </c>
      <c r="C28" s="14" t="n">
        <v>8</v>
      </c>
      <c r="D28" s="13" t="n">
        <v>21</v>
      </c>
    </row>
    <row r="29" customFormat="false" ht="15" hidden="false" customHeight="true" outlineLevel="0" collapsed="false">
      <c r="A29" s="13" t="n">
        <v>7</v>
      </c>
      <c r="B29" s="13" t="s">
        <v>288</v>
      </c>
      <c r="C29" s="14" t="n">
        <v>8</v>
      </c>
      <c r="D29" s="13" t="n">
        <v>21</v>
      </c>
    </row>
    <row r="30" customFormat="false" ht="15" hidden="false" customHeight="true" outlineLevel="0" collapsed="false">
      <c r="A30" s="13" t="n">
        <v>8</v>
      </c>
      <c r="B30" s="13" t="s">
        <v>289</v>
      </c>
      <c r="C30" s="14" t="n">
        <v>7</v>
      </c>
      <c r="D30" s="13" t="n">
        <v>18</v>
      </c>
    </row>
    <row r="31" customFormat="false" ht="15" hidden="false" customHeight="true" outlineLevel="0" collapsed="false">
      <c r="A31" s="13" t="n">
        <v>9</v>
      </c>
      <c r="B31" s="13" t="s">
        <v>290</v>
      </c>
      <c r="C31" s="14" t="n">
        <v>9</v>
      </c>
      <c r="D31" s="13" t="n">
        <v>24</v>
      </c>
    </row>
    <row r="32" customFormat="false" ht="15" hidden="false" customHeight="true" outlineLevel="0" collapsed="false">
      <c r="A32" s="13" t="n">
        <v>10</v>
      </c>
      <c r="B32" s="13" t="s">
        <v>291</v>
      </c>
      <c r="C32" s="14" t="n">
        <v>8</v>
      </c>
      <c r="D32" s="13" t="n">
        <v>21</v>
      </c>
    </row>
    <row r="33" customFormat="false" ht="15" hidden="false" customHeight="true" outlineLevel="0" collapsed="false">
      <c r="A33" s="13" t="n">
        <v>11</v>
      </c>
      <c r="B33" s="13" t="s">
        <v>292</v>
      </c>
      <c r="C33" s="14" t="n">
        <v>6</v>
      </c>
      <c r="D33" s="13" t="n">
        <v>16</v>
      </c>
    </row>
    <row r="34" customFormat="false" ht="15" hidden="false" customHeight="true" outlineLevel="0" collapsed="false">
      <c r="A34" s="13" t="n">
        <v>12</v>
      </c>
      <c r="B34" s="13" t="s">
        <v>293</v>
      </c>
      <c r="C34" s="14" t="n">
        <v>8</v>
      </c>
      <c r="D34" s="13" t="n">
        <v>21</v>
      </c>
    </row>
    <row r="35" customFormat="false" ht="15" hidden="false" customHeight="true" outlineLevel="0" collapsed="false">
      <c r="A35" s="15"/>
      <c r="B35" s="16" t="s">
        <v>50</v>
      </c>
      <c r="C35" s="17" t="n">
        <f aca="false">SUM(C23:C34)</f>
        <v>91</v>
      </c>
      <c r="D35" s="16" t="n">
        <f aca="false">SUM(D23:D34)</f>
        <v>240</v>
      </c>
    </row>
    <row r="37" customFormat="false" ht="15" hidden="false" customHeight="true" outlineLevel="0" collapsed="false">
      <c r="A37" s="10" t="str">
        <f aca="false">"Grade VIII   (stage: middle, NCF annual total: "&amp;'Annual Budget'!$E$25&amp;" periods)"</f>
        <v>Grade VIII   (stage: middle, NCF annual total: 240 periods)</v>
      </c>
      <c r="B37" s="11"/>
      <c r="C37" s="11"/>
      <c r="D37" s="11"/>
      <c r="E37" s="11"/>
    </row>
    <row r="38" customFormat="false" ht="15" hidden="false" customHeight="true" outlineLevel="0" collapsed="false">
      <c r="A38" s="12" t="s">
        <v>34</v>
      </c>
      <c r="B38" s="12" t="s">
        <v>35</v>
      </c>
      <c r="C38" s="12" t="s">
        <v>36</v>
      </c>
      <c r="D38" s="12" t="s">
        <v>37</v>
      </c>
    </row>
    <row r="39" customFormat="false" ht="15" hidden="false" customHeight="true" outlineLevel="0" collapsed="false">
      <c r="A39" s="13" t="n">
        <v>1</v>
      </c>
      <c r="B39" s="13" t="s">
        <v>294</v>
      </c>
      <c r="C39" s="14" t="n">
        <v>8</v>
      </c>
      <c r="D39" s="13" t="n">
        <v>13</v>
      </c>
    </row>
    <row r="40" customFormat="false" ht="15" hidden="false" customHeight="true" outlineLevel="0" collapsed="false">
      <c r="A40" s="13" t="n">
        <v>2</v>
      </c>
      <c r="B40" s="13" t="s">
        <v>295</v>
      </c>
      <c r="C40" s="14" t="n">
        <v>11</v>
      </c>
      <c r="D40" s="13" t="n">
        <v>19</v>
      </c>
    </row>
    <row r="41" customFormat="false" ht="15" hidden="false" customHeight="true" outlineLevel="0" collapsed="false">
      <c r="A41" s="13" t="n">
        <v>3</v>
      </c>
      <c r="B41" s="13" t="s">
        <v>296</v>
      </c>
      <c r="C41" s="14" t="n">
        <v>12</v>
      </c>
      <c r="D41" s="13" t="n">
        <v>20</v>
      </c>
    </row>
    <row r="42" customFormat="false" ht="15" hidden="false" customHeight="true" outlineLevel="0" collapsed="false">
      <c r="A42" s="13" t="n">
        <v>4</v>
      </c>
      <c r="B42" s="13" t="s">
        <v>297</v>
      </c>
      <c r="C42" s="14" t="n">
        <v>14</v>
      </c>
      <c r="D42" s="13" t="n">
        <v>24</v>
      </c>
    </row>
    <row r="43" customFormat="false" ht="15" hidden="false" customHeight="true" outlineLevel="0" collapsed="false">
      <c r="A43" s="13" t="n">
        <v>5</v>
      </c>
      <c r="B43" s="13" t="s">
        <v>298</v>
      </c>
      <c r="C43" s="14" t="n">
        <v>9</v>
      </c>
      <c r="D43" s="13" t="n">
        <v>15</v>
      </c>
    </row>
    <row r="44" customFormat="false" ht="15" hidden="false" customHeight="true" outlineLevel="0" collapsed="false">
      <c r="A44" s="13" t="n">
        <v>6</v>
      </c>
      <c r="B44" s="13" t="s">
        <v>299</v>
      </c>
      <c r="C44" s="14" t="n">
        <v>9</v>
      </c>
      <c r="D44" s="13" t="n">
        <v>15</v>
      </c>
    </row>
    <row r="45" customFormat="false" ht="15" hidden="false" customHeight="true" outlineLevel="0" collapsed="false">
      <c r="A45" s="13" t="n">
        <v>7</v>
      </c>
      <c r="B45" s="13" t="s">
        <v>300</v>
      </c>
      <c r="C45" s="14" t="n">
        <v>9</v>
      </c>
      <c r="D45" s="13" t="n">
        <v>15</v>
      </c>
    </row>
    <row r="46" customFormat="false" ht="15" hidden="false" customHeight="true" outlineLevel="0" collapsed="false">
      <c r="A46" s="13" t="n">
        <v>8</v>
      </c>
      <c r="B46" s="13" t="s">
        <v>301</v>
      </c>
      <c r="C46" s="14" t="n">
        <v>10.2857</v>
      </c>
      <c r="D46" s="13" t="n">
        <v>17</v>
      </c>
    </row>
    <row r="47" customFormat="false" ht="15" hidden="false" customHeight="true" outlineLevel="0" collapsed="false">
      <c r="A47" s="13" t="n">
        <v>9</v>
      </c>
      <c r="B47" s="13" t="s">
        <v>208</v>
      </c>
      <c r="C47" s="14" t="n">
        <v>10.2857</v>
      </c>
      <c r="D47" s="13" t="n">
        <v>17</v>
      </c>
    </row>
    <row r="48" customFormat="false" ht="15" hidden="false" customHeight="true" outlineLevel="0" collapsed="false">
      <c r="A48" s="13" t="n">
        <v>10</v>
      </c>
      <c r="B48" s="13" t="s">
        <v>209</v>
      </c>
      <c r="C48" s="14" t="n">
        <v>10.2857</v>
      </c>
      <c r="D48" s="13" t="n">
        <v>17</v>
      </c>
    </row>
    <row r="49" customFormat="false" ht="15" hidden="false" customHeight="true" outlineLevel="0" collapsed="false">
      <c r="A49" s="13" t="n">
        <v>11</v>
      </c>
      <c r="B49" s="13" t="s">
        <v>210</v>
      </c>
      <c r="C49" s="14" t="n">
        <v>10.2857</v>
      </c>
      <c r="D49" s="13" t="n">
        <v>17</v>
      </c>
    </row>
    <row r="50" customFormat="false" ht="15" hidden="false" customHeight="true" outlineLevel="0" collapsed="false">
      <c r="A50" s="13" t="n">
        <v>12</v>
      </c>
      <c r="B50" s="13" t="s">
        <v>211</v>
      </c>
      <c r="C50" s="14" t="n">
        <v>10.2857</v>
      </c>
      <c r="D50" s="13" t="n">
        <v>17</v>
      </c>
    </row>
    <row r="51" customFormat="false" ht="15" hidden="false" customHeight="true" outlineLevel="0" collapsed="false">
      <c r="A51" s="13" t="n">
        <v>13</v>
      </c>
      <c r="B51" s="13" t="s">
        <v>212</v>
      </c>
      <c r="C51" s="14" t="n">
        <v>10.2857</v>
      </c>
      <c r="D51" s="13" t="n">
        <v>17</v>
      </c>
    </row>
    <row r="52" customFormat="false" ht="15" hidden="false" customHeight="true" outlineLevel="0" collapsed="false">
      <c r="A52" s="13" t="n">
        <v>14</v>
      </c>
      <c r="B52" s="13" t="s">
        <v>213</v>
      </c>
      <c r="C52" s="14" t="n">
        <v>10.2857</v>
      </c>
      <c r="D52" s="13" t="n">
        <v>17</v>
      </c>
    </row>
    <row r="53" customFormat="false" ht="15" hidden="false" customHeight="true" outlineLevel="0" collapsed="false">
      <c r="A53" s="15"/>
      <c r="B53" s="16" t="s">
        <v>50</v>
      </c>
      <c r="C53" s="17" t="n">
        <f aca="false">SUM(C39:C52)</f>
        <v>143.9999</v>
      </c>
      <c r="D53" s="16" t="n">
        <f aca="false">SUM(D39:D52)</f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302</v>
      </c>
    </row>
    <row r="3" customFormat="false" ht="15" hidden="false" customHeight="true" outlineLevel="0" collapsed="false">
      <c r="A3" s="10" t="str">
        <f aca="false">"Grade III   (stage: preparatory, NCF annual total: "&amp;'Annual Budget'!$E$26&amp;" periods)"</f>
        <v>Grade III   (stage: preparatory, NCF annual total: 300 periods)</v>
      </c>
      <c r="B3" s="11"/>
      <c r="C3" s="11"/>
      <c r="D3" s="11"/>
      <c r="E3" s="11"/>
    </row>
    <row r="4" customFormat="false" ht="1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</row>
    <row r="5" customFormat="false" ht="15" hidden="false" customHeight="true" outlineLevel="0" collapsed="false">
      <c r="A5" s="13" t="n">
        <v>1</v>
      </c>
      <c r="B5" s="13" t="s">
        <v>303</v>
      </c>
      <c r="C5" s="14" t="n">
        <v>6</v>
      </c>
      <c r="D5" s="13" t="n">
        <v>22</v>
      </c>
    </row>
    <row r="6" customFormat="false" ht="15" hidden="false" customHeight="true" outlineLevel="0" collapsed="false">
      <c r="A6" s="13" t="n">
        <v>2</v>
      </c>
      <c r="B6" s="13" t="s">
        <v>304</v>
      </c>
      <c r="C6" s="14" t="n">
        <v>6.5</v>
      </c>
      <c r="D6" s="13" t="n">
        <v>24</v>
      </c>
    </row>
    <row r="7" customFormat="false" ht="15" hidden="false" customHeight="true" outlineLevel="0" collapsed="false">
      <c r="A7" s="13" t="n">
        <v>3</v>
      </c>
      <c r="B7" s="13" t="s">
        <v>305</v>
      </c>
      <c r="C7" s="14" t="n">
        <v>6</v>
      </c>
      <c r="D7" s="13" t="n">
        <v>22</v>
      </c>
    </row>
    <row r="8" customFormat="false" ht="15" hidden="false" customHeight="true" outlineLevel="0" collapsed="false">
      <c r="A8" s="13" t="n">
        <v>4</v>
      </c>
      <c r="B8" s="13" t="s">
        <v>306</v>
      </c>
      <c r="C8" s="14" t="n">
        <v>7.5</v>
      </c>
      <c r="D8" s="13" t="n">
        <v>28</v>
      </c>
    </row>
    <row r="9" customFormat="false" ht="15" hidden="false" customHeight="true" outlineLevel="0" collapsed="false">
      <c r="A9" s="13" t="n">
        <v>5</v>
      </c>
      <c r="B9" s="13" t="s">
        <v>307</v>
      </c>
      <c r="C9" s="14" t="n">
        <v>6</v>
      </c>
      <c r="D9" s="13" t="n">
        <v>22</v>
      </c>
    </row>
    <row r="10" customFormat="false" ht="15" hidden="false" customHeight="true" outlineLevel="0" collapsed="false">
      <c r="A10" s="13" t="n">
        <v>6</v>
      </c>
      <c r="B10" s="13" t="s">
        <v>308</v>
      </c>
      <c r="C10" s="14" t="n">
        <v>9.5</v>
      </c>
      <c r="D10" s="13" t="n">
        <v>35</v>
      </c>
    </row>
    <row r="11" customFormat="false" ht="15" hidden="false" customHeight="true" outlineLevel="0" collapsed="false">
      <c r="A11" s="13" t="n">
        <v>7</v>
      </c>
      <c r="B11" s="13" t="s">
        <v>309</v>
      </c>
      <c r="C11" s="14" t="n">
        <v>7.5</v>
      </c>
      <c r="D11" s="13" t="n">
        <v>27</v>
      </c>
    </row>
    <row r="12" customFormat="false" ht="15" hidden="false" customHeight="true" outlineLevel="0" collapsed="false">
      <c r="A12" s="13" t="n">
        <v>8</v>
      </c>
      <c r="B12" s="13" t="s">
        <v>310</v>
      </c>
      <c r="C12" s="14" t="n">
        <v>4</v>
      </c>
      <c r="D12" s="13" t="n">
        <v>15</v>
      </c>
    </row>
    <row r="13" customFormat="false" ht="15" hidden="false" customHeight="true" outlineLevel="0" collapsed="false">
      <c r="A13" s="13" t="n">
        <v>9</v>
      </c>
      <c r="B13" s="13" t="s">
        <v>311</v>
      </c>
      <c r="C13" s="14" t="n">
        <v>3.5</v>
      </c>
      <c r="D13" s="13" t="n">
        <v>13</v>
      </c>
    </row>
    <row r="14" customFormat="false" ht="15" hidden="false" customHeight="true" outlineLevel="0" collapsed="false">
      <c r="A14" s="13" t="n">
        <v>10</v>
      </c>
      <c r="B14" s="13" t="s">
        <v>312</v>
      </c>
      <c r="C14" s="14" t="n">
        <v>6</v>
      </c>
      <c r="D14" s="13" t="n">
        <v>22</v>
      </c>
    </row>
    <row r="15" customFormat="false" ht="15" hidden="false" customHeight="true" outlineLevel="0" collapsed="false">
      <c r="A15" s="13" t="n">
        <v>11</v>
      </c>
      <c r="B15" s="13" t="s">
        <v>313</v>
      </c>
      <c r="C15" s="14" t="n">
        <v>9.5</v>
      </c>
      <c r="D15" s="13" t="n">
        <v>35</v>
      </c>
    </row>
    <row r="16" customFormat="false" ht="15" hidden="false" customHeight="true" outlineLevel="0" collapsed="false">
      <c r="A16" s="13" t="n">
        <v>12</v>
      </c>
      <c r="B16" s="13" t="s">
        <v>314</v>
      </c>
      <c r="C16" s="14" t="n">
        <v>9.5</v>
      </c>
      <c r="D16" s="13" t="n">
        <v>35</v>
      </c>
    </row>
    <row r="17" customFormat="false" ht="15" hidden="false" customHeight="true" outlineLevel="0" collapsed="false">
      <c r="A17" s="15"/>
      <c r="B17" s="16" t="s">
        <v>50</v>
      </c>
      <c r="C17" s="17" t="n">
        <f aca="false">SUM(C5:C16)</f>
        <v>81.5</v>
      </c>
      <c r="D17" s="16" t="n">
        <f aca="false">SUM(D5:D16)</f>
        <v>300</v>
      </c>
    </row>
    <row r="19" customFormat="false" ht="15" hidden="false" customHeight="true" outlineLevel="0" collapsed="false">
      <c r="A19" s="10" t="str">
        <f aca="false">"Grade IV   (stage: preparatory, NCF annual total: "&amp;'Annual Budget'!$E$27&amp;" periods)"</f>
        <v>Grade IV   (stage: preparatory, NCF annual total: 300 periods)</v>
      </c>
      <c r="B19" s="11"/>
      <c r="C19" s="11"/>
      <c r="D19" s="11"/>
      <c r="E19" s="11"/>
    </row>
    <row r="20" customFormat="false" ht="15" hidden="false" customHeight="true" outlineLevel="0" collapsed="false">
      <c r="A20" s="12" t="s">
        <v>34</v>
      </c>
      <c r="B20" s="12" t="s">
        <v>35</v>
      </c>
      <c r="C20" s="12" t="s">
        <v>36</v>
      </c>
      <c r="D20" s="12" t="s">
        <v>37</v>
      </c>
    </row>
    <row r="21" customFormat="false" ht="15" hidden="false" customHeight="true" outlineLevel="0" collapsed="false">
      <c r="A21" s="13" t="n">
        <v>1</v>
      </c>
      <c r="B21" s="13" t="s">
        <v>315</v>
      </c>
      <c r="C21" s="14" t="n">
        <v>6</v>
      </c>
      <c r="D21" s="13" t="n">
        <v>22</v>
      </c>
    </row>
    <row r="22" customFormat="false" ht="15" hidden="false" customHeight="true" outlineLevel="0" collapsed="false">
      <c r="A22" s="13" t="n">
        <v>2</v>
      </c>
      <c r="B22" s="13" t="s">
        <v>316</v>
      </c>
      <c r="C22" s="14" t="n">
        <v>10</v>
      </c>
      <c r="D22" s="13" t="n">
        <v>37</v>
      </c>
    </row>
    <row r="23" customFormat="false" ht="15" hidden="false" customHeight="true" outlineLevel="0" collapsed="false">
      <c r="A23" s="13" t="n">
        <v>3</v>
      </c>
      <c r="B23" s="13" t="s">
        <v>317</v>
      </c>
      <c r="C23" s="14" t="n">
        <v>9.5</v>
      </c>
      <c r="D23" s="13" t="n">
        <v>35</v>
      </c>
    </row>
    <row r="24" customFormat="false" ht="15" hidden="false" customHeight="true" outlineLevel="0" collapsed="false">
      <c r="A24" s="13" t="n">
        <v>4</v>
      </c>
      <c r="B24" s="13" t="s">
        <v>318</v>
      </c>
      <c r="C24" s="14" t="n">
        <v>7.5</v>
      </c>
      <c r="D24" s="13" t="n">
        <v>28</v>
      </c>
    </row>
    <row r="25" customFormat="false" ht="15" hidden="false" customHeight="true" outlineLevel="0" collapsed="false">
      <c r="A25" s="13" t="n">
        <v>5</v>
      </c>
      <c r="B25" s="13" t="s">
        <v>319</v>
      </c>
      <c r="C25" s="14" t="n">
        <v>7.5</v>
      </c>
      <c r="D25" s="13" t="n">
        <v>27</v>
      </c>
    </row>
    <row r="26" customFormat="false" ht="15" hidden="false" customHeight="true" outlineLevel="0" collapsed="false">
      <c r="A26" s="13" t="n">
        <v>6</v>
      </c>
      <c r="B26" s="13" t="s">
        <v>320</v>
      </c>
      <c r="C26" s="14" t="n">
        <v>11</v>
      </c>
      <c r="D26" s="13" t="n">
        <v>40</v>
      </c>
    </row>
    <row r="27" customFormat="false" ht="15" hidden="false" customHeight="true" outlineLevel="0" collapsed="false">
      <c r="A27" s="13" t="n">
        <v>7</v>
      </c>
      <c r="B27" s="13" t="s">
        <v>321</v>
      </c>
      <c r="C27" s="14" t="n">
        <v>7.5</v>
      </c>
      <c r="D27" s="13" t="n">
        <v>27</v>
      </c>
    </row>
    <row r="28" customFormat="false" ht="15" hidden="false" customHeight="true" outlineLevel="0" collapsed="false">
      <c r="A28" s="13" t="n">
        <v>8</v>
      </c>
      <c r="B28" s="13" t="s">
        <v>322</v>
      </c>
      <c r="C28" s="14" t="n">
        <v>7.5</v>
      </c>
      <c r="D28" s="13" t="n">
        <v>27</v>
      </c>
    </row>
    <row r="29" customFormat="false" ht="15" hidden="false" customHeight="true" outlineLevel="0" collapsed="false">
      <c r="A29" s="13" t="n">
        <v>9</v>
      </c>
      <c r="B29" s="13" t="s">
        <v>323</v>
      </c>
      <c r="C29" s="14" t="n">
        <v>9.5</v>
      </c>
      <c r="D29" s="13" t="n">
        <v>35</v>
      </c>
    </row>
    <row r="30" customFormat="false" ht="15" hidden="false" customHeight="true" outlineLevel="0" collapsed="false">
      <c r="A30" s="13" t="n">
        <v>10</v>
      </c>
      <c r="B30" s="13" t="s">
        <v>324</v>
      </c>
      <c r="C30" s="14" t="n">
        <v>6</v>
      </c>
      <c r="D30" s="13" t="n">
        <v>22</v>
      </c>
    </row>
    <row r="31" customFormat="false" ht="15" hidden="false" customHeight="true" outlineLevel="0" collapsed="false">
      <c r="A31" s="15"/>
      <c r="B31" s="16" t="s">
        <v>50</v>
      </c>
      <c r="C31" s="17" t="n">
        <f aca="false">SUM(C21:C30)</f>
        <v>82</v>
      </c>
      <c r="D31" s="16" t="n">
        <f aca="false">SUM(D21:D30)</f>
        <v>300</v>
      </c>
    </row>
    <row r="33" customFormat="false" ht="15" hidden="false" customHeight="true" outlineLevel="0" collapsed="false">
      <c r="A33" s="10" t="str">
        <f aca="false">"Grade V   (stage: preparatory, NCF annual total: "&amp;'Annual Budget'!$E$28&amp;" periods)"</f>
        <v>Grade V   (stage: preparatory, NCF annual total: 300 periods)</v>
      </c>
      <c r="B33" s="11"/>
      <c r="C33" s="11"/>
      <c r="D33" s="11"/>
      <c r="E33" s="11"/>
    </row>
    <row r="34" customFormat="false" ht="15" hidden="false" customHeight="true" outlineLevel="0" collapsed="false">
      <c r="A34" s="12" t="s">
        <v>34</v>
      </c>
      <c r="B34" s="12" t="s">
        <v>35</v>
      </c>
      <c r="C34" s="12" t="s">
        <v>36</v>
      </c>
      <c r="D34" s="12" t="s">
        <v>37</v>
      </c>
    </row>
    <row r="35" customFormat="false" ht="15" hidden="false" customHeight="true" outlineLevel="0" collapsed="false">
      <c r="A35" s="13" t="n">
        <v>1</v>
      </c>
      <c r="B35" s="13" t="s">
        <v>325</v>
      </c>
      <c r="C35" s="14" t="n">
        <v>10.5</v>
      </c>
      <c r="D35" s="13" t="n">
        <v>29</v>
      </c>
    </row>
    <row r="36" customFormat="false" ht="15" hidden="false" customHeight="true" outlineLevel="0" collapsed="false">
      <c r="A36" s="13" t="n">
        <v>2</v>
      </c>
      <c r="B36" s="13" t="s">
        <v>326</v>
      </c>
      <c r="C36" s="14" t="n">
        <v>12.5</v>
      </c>
      <c r="D36" s="13" t="n">
        <v>35</v>
      </c>
    </row>
    <row r="37" customFormat="false" ht="15" hidden="false" customHeight="true" outlineLevel="0" collapsed="false">
      <c r="A37" s="13" t="n">
        <v>3</v>
      </c>
      <c r="B37" s="13" t="s">
        <v>327</v>
      </c>
      <c r="C37" s="14" t="n">
        <v>6</v>
      </c>
      <c r="D37" s="13" t="n">
        <v>17</v>
      </c>
    </row>
    <row r="38" customFormat="false" ht="15" hidden="false" customHeight="true" outlineLevel="0" collapsed="false">
      <c r="A38" s="13" t="n">
        <v>4</v>
      </c>
      <c r="B38" s="13" t="s">
        <v>328</v>
      </c>
      <c r="C38" s="14" t="n">
        <v>12.5</v>
      </c>
      <c r="D38" s="13" t="n">
        <v>35</v>
      </c>
    </row>
    <row r="39" customFormat="false" ht="15" hidden="false" customHeight="true" outlineLevel="0" collapsed="false">
      <c r="A39" s="13" t="n">
        <v>5</v>
      </c>
      <c r="B39" s="13" t="s">
        <v>329</v>
      </c>
      <c r="C39" s="14" t="n">
        <v>12</v>
      </c>
      <c r="D39" s="13" t="n">
        <v>34</v>
      </c>
    </row>
    <row r="40" customFormat="false" ht="15" hidden="false" customHeight="true" outlineLevel="0" collapsed="false">
      <c r="A40" s="13" t="n">
        <v>6</v>
      </c>
      <c r="B40" s="13" t="s">
        <v>330</v>
      </c>
      <c r="C40" s="14" t="n">
        <v>14.5</v>
      </c>
      <c r="D40" s="13" t="n">
        <v>41</v>
      </c>
    </row>
    <row r="41" customFormat="false" ht="15" hidden="false" customHeight="true" outlineLevel="0" collapsed="false">
      <c r="A41" s="13" t="n">
        <v>7</v>
      </c>
      <c r="B41" s="13" t="s">
        <v>331</v>
      </c>
      <c r="C41" s="14" t="n">
        <v>9.5</v>
      </c>
      <c r="D41" s="13" t="n">
        <v>27</v>
      </c>
    </row>
    <row r="42" customFormat="false" ht="15" hidden="false" customHeight="true" outlineLevel="0" collapsed="false">
      <c r="A42" s="13" t="n">
        <v>8</v>
      </c>
      <c r="B42" s="13" t="s">
        <v>332</v>
      </c>
      <c r="C42" s="14" t="n">
        <v>7.5</v>
      </c>
      <c r="D42" s="13" t="n">
        <v>21</v>
      </c>
    </row>
    <row r="43" customFormat="false" ht="15" hidden="false" customHeight="true" outlineLevel="0" collapsed="false">
      <c r="A43" s="13" t="n">
        <v>9</v>
      </c>
      <c r="B43" s="13" t="s">
        <v>333</v>
      </c>
      <c r="C43" s="14" t="n">
        <v>9.5</v>
      </c>
      <c r="D43" s="13" t="n">
        <v>26</v>
      </c>
    </row>
    <row r="44" customFormat="false" ht="15" hidden="false" customHeight="true" outlineLevel="0" collapsed="false">
      <c r="A44" s="13" t="n">
        <v>10</v>
      </c>
      <c r="B44" s="13" t="s">
        <v>334</v>
      </c>
      <c r="C44" s="14" t="n">
        <v>12.5</v>
      </c>
      <c r="D44" s="13" t="n">
        <v>35</v>
      </c>
    </row>
    <row r="45" customFormat="false" ht="15" hidden="false" customHeight="true" outlineLevel="0" collapsed="false">
      <c r="A45" s="15"/>
      <c r="B45" s="16" t="s">
        <v>50</v>
      </c>
      <c r="C45" s="17" t="n">
        <f aca="false">SUM(C35:C44)</f>
        <v>107</v>
      </c>
      <c r="D45" s="16" t="n">
        <f aca="false">SUM(D35:D44)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2026-07-08T07:38:26Z</dcterms:created>
  <dc:creator>openpyxl</dc:creator>
  <dc:description/>
  <dc:language>en-US</dc:language>
  <cp:lastModifiedBy/>
  <dcterms:modified xsi:type="dcterms:W3CDTF">2026-07-08T12:12:47Z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