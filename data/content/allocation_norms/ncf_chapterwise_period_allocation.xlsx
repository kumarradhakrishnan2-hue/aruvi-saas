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9"/>
  <workbookPr/>
  <mc:AlternateContent xmlns:mc="http://schemas.openxmlformats.org/markup-compatibility/2006">
    <mc:Choice Requires="x15">
      <x15ac:absPath xmlns:x15ac="http://schemas.microsoft.com/office/spreadsheetml/2010/11/ac" url="/Users/kumar_radhakrishnan/main/kumar/AI/aruvi-saas/data/content/allocation_norms/"/>
    </mc:Choice>
  </mc:AlternateContent>
  <xr:revisionPtr revIDLastSave="0" documentId="13_ncr:1_{7778DBB2-81AF-7A49-A33D-98799EBD4F75}" xr6:coauthVersionLast="47" xr6:coauthVersionMax="47" xr10:uidLastSave="{00000000-0000-0000-0000-000000000000}"/>
  <bookViews>
    <workbookView xWindow="0" yWindow="600" windowWidth="16380" windowHeight="17400" tabRatio="500" xr2:uid="{00000000-000D-0000-FFFF-FFFF00000000}"/>
  </bookViews>
  <sheets>
    <sheet name="Summary" sheetId="1" r:id="rId1"/>
    <sheet name="Chapters" sheetId="2" r:id="rId2"/>
    <sheet name="budget" sheetId="3" r:id="rId3"/>
  </sheets>
  <definedNames>
    <definedName name="_xlnm._FilterDatabase" localSheetId="2" hidden="1">budget!$A$1:$C$46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  <c r="B27" i="1"/>
  <c r="A27" i="1"/>
  <c r="C26" i="1"/>
  <c r="B26" i="1"/>
  <c r="A26" i="1"/>
  <c r="C25" i="1"/>
  <c r="B25" i="1"/>
  <c r="A25" i="1"/>
  <c r="C24" i="1"/>
  <c r="B24" i="1"/>
  <c r="A24" i="1"/>
  <c r="C23" i="1"/>
  <c r="B23" i="1"/>
  <c r="A23" i="1"/>
  <c r="C22" i="1"/>
  <c r="B22" i="1"/>
  <c r="A22" i="1"/>
  <c r="C21" i="1"/>
  <c r="B21" i="1"/>
  <c r="A21" i="1"/>
  <c r="C20" i="1"/>
  <c r="B20" i="1"/>
  <c r="A20" i="1"/>
  <c r="C19" i="1"/>
  <c r="B19" i="1"/>
  <c r="A19" i="1"/>
  <c r="C18" i="1"/>
  <c r="B18" i="1"/>
  <c r="A18" i="1"/>
  <c r="C17" i="1"/>
  <c r="B17" i="1"/>
  <c r="A17" i="1"/>
  <c r="C16" i="1"/>
  <c r="B16" i="1"/>
  <c r="A16" i="1"/>
  <c r="C15" i="1"/>
  <c r="B15" i="1"/>
  <c r="A15" i="1"/>
  <c r="C14" i="1"/>
  <c r="B14" i="1"/>
  <c r="A14" i="1"/>
  <c r="C13" i="1"/>
  <c r="B13" i="1"/>
  <c r="A13" i="1"/>
  <c r="C12" i="1"/>
  <c r="B12" i="1"/>
  <c r="A12" i="1"/>
  <c r="C11" i="1"/>
  <c r="B11" i="1"/>
  <c r="A11" i="1"/>
  <c r="C10" i="1"/>
  <c r="B10" i="1"/>
  <c r="A10" i="1"/>
  <c r="B6" i="1"/>
  <c r="A7" i="1" s="1"/>
  <c r="C28" i="1" l="1"/>
  <c r="D10" i="1" s="1"/>
  <c r="D11" i="1" l="1"/>
  <c r="D12" i="1"/>
  <c r="D13" i="1"/>
  <c r="D14" i="1"/>
  <c r="D15" i="1"/>
  <c r="D16" i="1"/>
  <c r="D18" i="1"/>
  <c r="D19" i="1"/>
  <c r="D20" i="1"/>
  <c r="D21" i="1"/>
  <c r="D22" i="1"/>
  <c r="D23" i="1"/>
  <c r="D25" i="1"/>
  <c r="D27" i="1"/>
  <c r="D17" i="1"/>
  <c r="D24" i="1"/>
  <c r="D26" i="1"/>
  <c r="D28" i="1" l="1"/>
</calcChain>
</file>

<file path=xl/sharedStrings.xml><?xml version="1.0" encoding="utf-8"?>
<sst xmlns="http://schemas.openxmlformats.org/spreadsheetml/2006/main" count="1467" uniqueCount="700">
  <si>
    <t>Chapter-wise Period Allocation</t>
  </si>
  <si>
    <t>Pick a subject and class, then type your annual teaching budget (periods for the year). Aruvi spreads the budget across the chapters by each chapter's effort weight - heavier chapters get more periods.</t>
  </si>
  <si>
    <t>Subject</t>
  </si>
  <si>
    <t>English</t>
  </si>
  <si>
    <t>Duration assumption</t>
  </si>
  <si>
    <t>Class</t>
  </si>
  <si>
    <t>III</t>
  </si>
  <si>
    <t>40 min — classes III–VII</t>
  </si>
  <si>
    <t>Annual budget</t>
  </si>
  <si>
    <t>periods / year</t>
  </si>
  <si>
    <t>45 min — class VIII</t>
  </si>
  <si>
    <t>50 min — class IX</t>
  </si>
  <si>
    <t>Ch #</t>
  </si>
  <si>
    <t>Chapter title</t>
  </si>
  <si>
    <t>Weight</t>
  </si>
  <si>
    <t>Periods</t>
  </si>
  <si>
    <t>Total</t>
  </si>
  <si>
    <t>Key</t>
  </si>
  <si>
    <t>Within #</t>
  </si>
  <si>
    <t>Fun with Friends (Fun with Friends)</t>
  </si>
  <si>
    <t>English|III|1</t>
  </si>
  <si>
    <t>Colours (Fun with Friends)</t>
  </si>
  <si>
    <t>English|III|2</t>
  </si>
  <si>
    <t>Badal and Moti (Badal and Moti)</t>
  </si>
  <si>
    <t>English|III|3</t>
  </si>
  <si>
    <t>Best Friends (Best Friends)</t>
  </si>
  <si>
    <t>English|III|4</t>
  </si>
  <si>
    <t>What do You do? (Best Friends)</t>
  </si>
  <si>
    <t>English|III|5</t>
  </si>
  <si>
    <t>Toys and Games (Picture Reading) (Toys and Games)</t>
  </si>
  <si>
    <t>English|III|6</t>
  </si>
  <si>
    <t>Out in the Garden (Toys and Games)</t>
  </si>
  <si>
    <t>English|III|7</t>
  </si>
  <si>
    <t>Talking Toys (Talking Toys)</t>
  </si>
  <si>
    <t>English|III|8</t>
  </si>
  <si>
    <t>Paper Boats (Paper Boats)</t>
  </si>
  <si>
    <t>English|III|9</t>
  </si>
  <si>
    <t>Good Food — Picture Reading (The Big Laddoo)</t>
  </si>
  <si>
    <t>English|III|10</t>
  </si>
  <si>
    <t>The Big Laddoo (The Big Laddoo)</t>
  </si>
  <si>
    <t>English|III|11</t>
  </si>
  <si>
    <t>Thank God! (Thank God!)</t>
  </si>
  <si>
    <t>English|III|12</t>
  </si>
  <si>
    <t>Madhu's Wish (Madhu's Wish)</t>
  </si>
  <si>
    <t>English|III|13</t>
  </si>
  <si>
    <t>The Sky — Picture Reading (Night)</t>
  </si>
  <si>
    <t>English|III|14</t>
  </si>
  <si>
    <t>Night (Night)</t>
  </si>
  <si>
    <t>English|III|15</t>
  </si>
  <si>
    <t>Chanda Mama Counts the Stars (Chanda Mama Counts the Stars)</t>
  </si>
  <si>
    <t>English|III|16</t>
  </si>
  <si>
    <t>Chandrayaan (Chandrayaan)</t>
  </si>
  <si>
    <t>English|III|17</t>
  </si>
  <si>
    <t>IV</t>
  </si>
  <si>
    <t>Together We Can</t>
  </si>
  <si>
    <t>English|IV|1</t>
  </si>
  <si>
    <t>The Tinkling Bells</t>
  </si>
  <si>
    <t>English|IV|2</t>
  </si>
  <si>
    <t>Be Smart, Be Safe</t>
  </si>
  <si>
    <t>English|IV|3</t>
  </si>
  <si>
    <t>One Thing at a Time</t>
  </si>
  <si>
    <t>English|IV|4</t>
  </si>
  <si>
    <t>The Old Stag</t>
  </si>
  <si>
    <t>English|IV|5</t>
  </si>
  <si>
    <t>Braille</t>
  </si>
  <si>
    <t>English|IV|6</t>
  </si>
  <si>
    <t>Fit Body, Fit Mind, Fit Nation</t>
  </si>
  <si>
    <t>English|IV|7</t>
  </si>
  <si>
    <t>The Lagori Champions</t>
  </si>
  <si>
    <t>English|IV|8</t>
  </si>
  <si>
    <t>Hekko</t>
  </si>
  <si>
    <t>English|IV|9</t>
  </si>
  <si>
    <t>The Swing</t>
  </si>
  <si>
    <t>English|IV|10</t>
  </si>
  <si>
    <t>A Journey to the Magical Mountains</t>
  </si>
  <si>
    <t>English|IV|11</t>
  </si>
  <si>
    <t>Maheshwar</t>
  </si>
  <si>
    <t>English|IV|12</t>
  </si>
  <si>
    <t>V</t>
  </si>
  <si>
    <t>Papa's Spectacles</t>
  </si>
  <si>
    <t>English|V|1</t>
  </si>
  <si>
    <t>Gone with the Scooter</t>
  </si>
  <si>
    <t>English|V|2</t>
  </si>
  <si>
    <t>The Rainbow</t>
  </si>
  <si>
    <t>English|V|3</t>
  </si>
  <si>
    <t>The Wise Parrot</t>
  </si>
  <si>
    <t>English|V|4</t>
  </si>
  <si>
    <t>The Frog</t>
  </si>
  <si>
    <t>English|V|5</t>
  </si>
  <si>
    <t>What a Tank!</t>
  </si>
  <si>
    <t>English|V|6</t>
  </si>
  <si>
    <t>Gilli Danda</t>
  </si>
  <si>
    <t>English|V|7</t>
  </si>
  <si>
    <t>The Decision of the Panchayat</t>
  </si>
  <si>
    <t>English|V|8</t>
  </si>
  <si>
    <t>Vocation</t>
  </si>
  <si>
    <t>English|V|9</t>
  </si>
  <si>
    <t>Glass Bangles</t>
  </si>
  <si>
    <t>English|V|10</t>
  </si>
  <si>
    <t>VI</t>
  </si>
  <si>
    <t>A Bottle of Dew (Fables and Folk Tales)</t>
  </si>
  <si>
    <t>English|VI|1</t>
  </si>
  <si>
    <t>The Raven and the Fox (Fables and Folk Tales)</t>
  </si>
  <si>
    <t>English|VI|2</t>
  </si>
  <si>
    <t>Rama to the Rescue (Fables and Folk Tales)</t>
  </si>
  <si>
    <t>English|VI|3</t>
  </si>
  <si>
    <t>The Unlikely Best Friends (Friendship)</t>
  </si>
  <si>
    <t>English|VI|4</t>
  </si>
  <si>
    <t>A Friend's Prayer (Friendship)</t>
  </si>
  <si>
    <t>English|VI|5</t>
  </si>
  <si>
    <t>The Chair (Friendship)</t>
  </si>
  <si>
    <t>English|VI|6</t>
  </si>
  <si>
    <t>Neem Baba (Nurturing Nature)</t>
  </si>
  <si>
    <t>English|VI|7</t>
  </si>
  <si>
    <t>What a Bird Thought (Nurturing Nature)</t>
  </si>
  <si>
    <t>English|VI|8</t>
  </si>
  <si>
    <t>Spices that Heal Us (Nurturing Nature)</t>
  </si>
  <si>
    <t>English|VI|9</t>
  </si>
  <si>
    <t>Change of Heart (Sports and Wellness)</t>
  </si>
  <si>
    <t>English|VI|10</t>
  </si>
  <si>
    <t>The Winner (Sports and Wellness)</t>
  </si>
  <si>
    <t>English|VI|11</t>
  </si>
  <si>
    <t>Yoga — A Way of Life (Sports and Wellness)</t>
  </si>
  <si>
    <t>English|VI|12</t>
  </si>
  <si>
    <t>Kalakritiyon ka Bharat (Culture and Tradition)</t>
  </si>
  <si>
    <t>English|VI|13</t>
  </si>
  <si>
    <t>The Kites (Culture and Tradition)</t>
  </si>
  <si>
    <t>English|VI|14</t>
  </si>
  <si>
    <t>Ila Sachani: Embroidering Dreams with her Feet (Culture and Tradition)</t>
  </si>
  <si>
    <t>English|VI|15</t>
  </si>
  <si>
    <t>National War Memorial (Culture and Tradition)</t>
  </si>
  <si>
    <t>English|VI|16</t>
  </si>
  <si>
    <t>VII</t>
  </si>
  <si>
    <t>The Day the River Spoke (Learning Together)</t>
  </si>
  <si>
    <t>English|VII|1</t>
  </si>
  <si>
    <t>Try Again (Learning Together)</t>
  </si>
  <si>
    <t>English|VII|2</t>
  </si>
  <si>
    <t>Three Days to See (Learning Together)</t>
  </si>
  <si>
    <t>English|VII|3</t>
  </si>
  <si>
    <t>Animals, Birds, and Dr. Dolittle (Wit and Humour)</t>
  </si>
  <si>
    <t>English|VII|4</t>
  </si>
  <si>
    <t>A Funny Man (Wit and Humour)</t>
  </si>
  <si>
    <t>English|VII|5</t>
  </si>
  <si>
    <t>Say the Right Thing (Wit and Humour)</t>
  </si>
  <si>
    <t>English|VII|6</t>
  </si>
  <si>
    <t>My Brother's Greatest Invention (Dreams and Discoveries)</t>
  </si>
  <si>
    <t>English|VII|7</t>
  </si>
  <si>
    <t>Paper Boats (Dreams and Discoveries)</t>
  </si>
  <si>
    <t>English|VII|8</t>
  </si>
  <si>
    <t>North, South, East, West (Dreams and Discoveries)</t>
  </si>
  <si>
    <t>English|VII|9</t>
  </si>
  <si>
    <t>The Tunnel (Travel and Adventure)</t>
  </si>
  <si>
    <t>English|VII|10</t>
  </si>
  <si>
    <t>Travel (Travel and Adventure)</t>
  </si>
  <si>
    <t>English|VII|11</t>
  </si>
  <si>
    <t>Conquering the Summit (Travel and Adventure)</t>
  </si>
  <si>
    <t>English|VII|12</t>
  </si>
  <si>
    <t>A Homage to Our Brave Soldiers (Bravehearts)</t>
  </si>
  <si>
    <t>English|VII|13</t>
  </si>
  <si>
    <t>My Dear Soldiers (Bravehearts)</t>
  </si>
  <si>
    <t>English|VII|14</t>
  </si>
  <si>
    <t>Rani Abbakka (Bravehearts)</t>
  </si>
  <si>
    <t>English|VII|15</t>
  </si>
  <si>
    <t>VIII</t>
  </si>
  <si>
    <t>The Wit that Won Hearts (Wit and Wisdom)</t>
  </si>
  <si>
    <t>English|VIII|1</t>
  </si>
  <si>
    <t>A Concrete Example (Wit and Wisdom)</t>
  </si>
  <si>
    <t>English|VIII|2</t>
  </si>
  <si>
    <t>Wisdom Paves the Way (Wit and Wisdom)</t>
  </si>
  <si>
    <t>English|VIII|3</t>
  </si>
  <si>
    <t>A Tale of Valour — Major Somnath Sharma and the Battle of Badgam (Values and Dispositions)</t>
  </si>
  <si>
    <t>English|VIII|4</t>
  </si>
  <si>
    <t>Somebody's Mother (Values and Dispositions)</t>
  </si>
  <si>
    <t>English|VIII|5</t>
  </si>
  <si>
    <t>Verghese Kurien — I Too Had A Dream (Values and Dispositions)</t>
  </si>
  <si>
    <t>English|VIII|6</t>
  </si>
  <si>
    <t>The Case of the Fifth Word (Mystery and Magic)</t>
  </si>
  <si>
    <t>English|VIII|7</t>
  </si>
  <si>
    <t>The Magic Brush of Dreams (Mystery and Magic)</t>
  </si>
  <si>
    <t>English|VIII|8</t>
  </si>
  <si>
    <t>Spectacular Wonders (Mystery and Magic)</t>
  </si>
  <si>
    <t>English|VIII|9</t>
  </si>
  <si>
    <t>The Cherry Tree (Environment)</t>
  </si>
  <si>
    <t>English|VIII|10</t>
  </si>
  <si>
    <t>Harvest Hymn (Environment)</t>
  </si>
  <si>
    <t>English|VIII|11</t>
  </si>
  <si>
    <t>Waiting for the Rain (Environment)</t>
  </si>
  <si>
    <t>English|VIII|12</t>
  </si>
  <si>
    <t>Feathered Friend (Science and Curiosity)</t>
  </si>
  <si>
    <t>English|VIII|13</t>
  </si>
  <si>
    <t>Magnifying Glass (Science and Curiosity)</t>
  </si>
  <si>
    <t>English|VIII|14</t>
  </si>
  <si>
    <t>Bibha Chowdhuri — The Beam of Light that Lit the Path for Women in Indian Science (Science and Curiosity)</t>
  </si>
  <si>
    <t>English|VIII|15</t>
  </si>
  <si>
    <t>IX</t>
  </si>
  <si>
    <t>How I Taught My Grandmother to Read (How I Taught My Grandmother to Read)</t>
  </si>
  <si>
    <t>English|IX|1</t>
  </si>
  <si>
    <t>Bharat Our Land (How I Taught My Grandmother to Read)</t>
  </si>
  <si>
    <t>English|IX|2</t>
  </si>
  <si>
    <t>The Pot Maker (The Pot Maker)</t>
  </si>
  <si>
    <t>English|IX|3</t>
  </si>
  <si>
    <t>Gifts of Grace: Honouring Our Vocations (The Pot Maker)</t>
  </si>
  <si>
    <t>English|IX|4</t>
  </si>
  <si>
    <t>Winds of Change (Winds of Change)</t>
  </si>
  <si>
    <t>English|IX|5</t>
  </si>
  <si>
    <t>Canvas of Soil (Winds of Change)</t>
  </si>
  <si>
    <t>English|IX|6</t>
  </si>
  <si>
    <t>Vitamin-M (Vitamin-M)</t>
  </si>
  <si>
    <t>English|IX|7</t>
  </si>
  <si>
    <t>I Cannot Remember My Mother (Vitamin-M)</t>
  </si>
  <si>
    <t>English|IX|8</t>
  </si>
  <si>
    <t>The World of Limitless Possibilities (The World of Limitless Possibilities)</t>
  </si>
  <si>
    <t>English|IX|9</t>
  </si>
  <si>
    <t>Nine Gold Medals (The World of Limitless Possibilities)</t>
  </si>
  <si>
    <t>English|IX|10</t>
  </si>
  <si>
    <t>Twin Melodies (Twin Melodies)</t>
  </si>
  <si>
    <t>English|IX|11</t>
  </si>
  <si>
    <t>A Friend Found in Music (Twin Melodies)</t>
  </si>
  <si>
    <t>English|IX|12</t>
  </si>
  <si>
    <t>Carrier of Words (Carrier of Words)</t>
  </si>
  <si>
    <t>English|IX|13</t>
  </si>
  <si>
    <t>Words (Carrier of Words)</t>
  </si>
  <si>
    <t>English|IX|14</t>
  </si>
  <si>
    <t>Follow That Dream (Follow That Dream)</t>
  </si>
  <si>
    <t>English|IX|15</t>
  </si>
  <si>
    <t>Believe in Yourself (Follow That Dream)</t>
  </si>
  <si>
    <t>English|IX|16</t>
  </si>
  <si>
    <t>Mathematics</t>
  </si>
  <si>
    <t>What's in a Name?</t>
  </si>
  <si>
    <t>Mathematics|III|1</t>
  </si>
  <si>
    <t>Toy Joy</t>
  </si>
  <si>
    <t>Mathematics|III|2</t>
  </si>
  <si>
    <t>Double Century</t>
  </si>
  <si>
    <t>Mathematics|III|3</t>
  </si>
  <si>
    <t>Vacation with My Nani Maa</t>
  </si>
  <si>
    <t>Mathematics|III|4</t>
  </si>
  <si>
    <t>Fun with Shapes</t>
  </si>
  <si>
    <t>Mathematics|III|5</t>
  </si>
  <si>
    <t>House of Hundreds - I</t>
  </si>
  <si>
    <t>Mathematics|III|6</t>
  </si>
  <si>
    <t>Raksha Bandhan</t>
  </si>
  <si>
    <t>Mathematics|III|7</t>
  </si>
  <si>
    <t>Fair Share</t>
  </si>
  <si>
    <t>Mathematics|III|8</t>
  </si>
  <si>
    <t>House of Hundreds - II</t>
  </si>
  <si>
    <t>Mathematics|III|9</t>
  </si>
  <si>
    <t>Fun at Class Party!</t>
  </si>
  <si>
    <t>Mathematics|III|10</t>
  </si>
  <si>
    <t>Filling and Lifting</t>
  </si>
  <si>
    <t>Mathematics|III|11</t>
  </si>
  <si>
    <t>Give and Take</t>
  </si>
  <si>
    <t>Mathematics|III|12</t>
  </si>
  <si>
    <t>Time Goes On</t>
  </si>
  <si>
    <t>Mathematics|III|13</t>
  </si>
  <si>
    <t>The Surajkund Fair</t>
  </si>
  <si>
    <t>Mathematics|III|14</t>
  </si>
  <si>
    <t>Shapes Around Us</t>
  </si>
  <si>
    <t>Mathematics|IV|1</t>
  </si>
  <si>
    <t>Hide and Seek</t>
  </si>
  <si>
    <t>Mathematics|IV|2</t>
  </si>
  <si>
    <t>Patterns Around Us</t>
  </si>
  <si>
    <t>Mathematics|IV|3</t>
  </si>
  <si>
    <t>Thousands Around Us</t>
  </si>
  <si>
    <t>Mathematics|IV|4</t>
  </si>
  <si>
    <t>Sharing and Measuring</t>
  </si>
  <si>
    <t>Mathematics|IV|5</t>
  </si>
  <si>
    <t>Measuring Length</t>
  </si>
  <si>
    <t>Mathematics|IV|6</t>
  </si>
  <si>
    <t>The Cleanest Village</t>
  </si>
  <si>
    <t>Mathematics|IV|7</t>
  </si>
  <si>
    <t>Weigh It, Pour It</t>
  </si>
  <si>
    <t>Mathematics|IV|8</t>
  </si>
  <si>
    <t>Equal Groups</t>
  </si>
  <si>
    <t>Mathematics|IV|9</t>
  </si>
  <si>
    <t>Elephants, Tigers, and Leopards</t>
  </si>
  <si>
    <t>Mathematics|IV|10</t>
  </si>
  <si>
    <t>Fun with Symmetry</t>
  </si>
  <si>
    <t>Mathematics|IV|11</t>
  </si>
  <si>
    <t>Ticking Clocks and Turning Calendar</t>
  </si>
  <si>
    <t>Mathematics|IV|12</t>
  </si>
  <si>
    <t>The Transport Museum</t>
  </si>
  <si>
    <t>Mathematics|IV|13</t>
  </si>
  <si>
    <t>Data Handling</t>
  </si>
  <si>
    <t>Mathematics|IV|14</t>
  </si>
  <si>
    <t>We the Travellers—I</t>
  </si>
  <si>
    <t>Mathematics|V|1</t>
  </si>
  <si>
    <t>Fractions</t>
  </si>
  <si>
    <t>Mathematics|V|2</t>
  </si>
  <si>
    <t>Angles as Turns</t>
  </si>
  <si>
    <t>Mathematics|V|3</t>
  </si>
  <si>
    <t>We the Travellers — II</t>
  </si>
  <si>
    <t>Mathematics|V|4</t>
  </si>
  <si>
    <t>Far and Near</t>
  </si>
  <si>
    <t>Mathematics|V|5</t>
  </si>
  <si>
    <t>The Dairy Farm</t>
  </si>
  <si>
    <t>Mathematics|V|6</t>
  </si>
  <si>
    <t>Shapes and Patterns</t>
  </si>
  <si>
    <t>Mathematics|V|7</t>
  </si>
  <si>
    <t>Weight and Capacity</t>
  </si>
  <si>
    <t>Mathematics|V|8</t>
  </si>
  <si>
    <t>Coconut Farm</t>
  </si>
  <si>
    <t>Mathematics|V|9</t>
  </si>
  <si>
    <t>Symmetrical Designs</t>
  </si>
  <si>
    <t>Mathematics|V|10</t>
  </si>
  <si>
    <t>Grandmother's Quilt</t>
  </si>
  <si>
    <t>Mathematics|V|11</t>
  </si>
  <si>
    <t>Racing Seconds</t>
  </si>
  <si>
    <t>Mathematics|V|12</t>
  </si>
  <si>
    <t>Animal Jumps</t>
  </si>
  <si>
    <t>Mathematics|V|13</t>
  </si>
  <si>
    <t>Maps And Locations</t>
  </si>
  <si>
    <t>Mathematics|V|14</t>
  </si>
  <si>
    <t>Data Through Pictures</t>
  </si>
  <si>
    <t>Mathematics|V|15</t>
  </si>
  <si>
    <t>Patterns in Mathematics</t>
  </si>
  <si>
    <t>Mathematics|VI|1</t>
  </si>
  <si>
    <t>Lines and Angles</t>
  </si>
  <si>
    <t>Mathematics|VI|2</t>
  </si>
  <si>
    <t>Number Play</t>
  </si>
  <si>
    <t>Mathematics|VI|3</t>
  </si>
  <si>
    <t>Data Handling and Presentation</t>
  </si>
  <si>
    <t>Mathematics|VI|4</t>
  </si>
  <si>
    <t>Prime Time</t>
  </si>
  <si>
    <t>Mathematics|VI|5</t>
  </si>
  <si>
    <t>Perimeter and Area</t>
  </si>
  <si>
    <t>Mathematics|VI|6</t>
  </si>
  <si>
    <t>Mathematics|VI|7</t>
  </si>
  <si>
    <t>Playing with Constructions</t>
  </si>
  <si>
    <t>Mathematics|VI|8</t>
  </si>
  <si>
    <t>Symmetry</t>
  </si>
  <si>
    <t>Mathematics|VI|9</t>
  </si>
  <si>
    <t>The Other Side of Zero</t>
  </si>
  <si>
    <t>Mathematics|VI|10</t>
  </si>
  <si>
    <t>Large Numbers Around Us</t>
  </si>
  <si>
    <t>Mathematics|VII|1</t>
  </si>
  <si>
    <t>Arithmetic Expressions</t>
  </si>
  <si>
    <t>Mathematics|VII|2</t>
  </si>
  <si>
    <t>A Peek Beyond the Point</t>
  </si>
  <si>
    <t>Mathematics|VII|3</t>
  </si>
  <si>
    <t>Expressions Using Letter-Numbers</t>
  </si>
  <si>
    <t>Mathematics|VII|4</t>
  </si>
  <si>
    <t>Parallel and Intersecting Lines</t>
  </si>
  <si>
    <t>Mathematics|VII|5</t>
  </si>
  <si>
    <t>Mathematics|VII|6</t>
  </si>
  <si>
    <t>A Tale of Three Intersecting Lines</t>
  </si>
  <si>
    <t>Mathematics|VII|7</t>
  </si>
  <si>
    <t>Working with Fractions</t>
  </si>
  <si>
    <t>Mathematics|VII|8</t>
  </si>
  <si>
    <t>Geometric Twins</t>
  </si>
  <si>
    <t>Mathematics|VII|9</t>
  </si>
  <si>
    <t>Operations with Integers</t>
  </si>
  <si>
    <t>Mathematics|VII|10</t>
  </si>
  <si>
    <t>Finding Common Ground</t>
  </si>
  <si>
    <t>Mathematics|VII|11</t>
  </si>
  <si>
    <t>Another Peek Beyond the Point</t>
  </si>
  <si>
    <t>Mathematics|VII|12</t>
  </si>
  <si>
    <t>Connecting the Dots</t>
  </si>
  <si>
    <t>Mathematics|VII|13</t>
  </si>
  <si>
    <t>Constructions and Tilings</t>
  </si>
  <si>
    <t>Mathematics|VII|14</t>
  </si>
  <si>
    <t>Finding the Unknown</t>
  </si>
  <si>
    <t>Mathematics|VII|15</t>
  </si>
  <si>
    <t>A Square and A Cube</t>
  </si>
  <si>
    <t>Mathematics|VIII|1</t>
  </si>
  <si>
    <t>Power Play</t>
  </si>
  <si>
    <t>Mathematics|VIII|2</t>
  </si>
  <si>
    <t>A Story of Numbers</t>
  </si>
  <si>
    <t>Mathematics|VIII|3</t>
  </si>
  <si>
    <t>Quadrilaterals</t>
  </si>
  <si>
    <t>Mathematics|VIII|4</t>
  </si>
  <si>
    <t>Mathematics|VIII|5</t>
  </si>
  <si>
    <t>We Distribute, Yet Things Multiply</t>
  </si>
  <si>
    <t>Mathematics|VIII|6</t>
  </si>
  <si>
    <t>Proportional Reasoning-1</t>
  </si>
  <si>
    <t>Mathematics|VIII|7</t>
  </si>
  <si>
    <t>Fractions in Disguise</t>
  </si>
  <si>
    <t>Mathematics|VIII|8</t>
  </si>
  <si>
    <t>The Baudhāyana-Pythagoras Theorem</t>
  </si>
  <si>
    <t>Mathematics|VIII|9</t>
  </si>
  <si>
    <t>Proportional Reasoning–2</t>
  </si>
  <si>
    <t>Mathematics|VIII|10</t>
  </si>
  <si>
    <t>Exploring Some Geometric Themes</t>
  </si>
  <si>
    <t>Mathematics|VIII|11</t>
  </si>
  <si>
    <t>Tales by Dots and Lines</t>
  </si>
  <si>
    <t>Mathematics|VIII|12</t>
  </si>
  <si>
    <t>Algebra Play</t>
  </si>
  <si>
    <t>Mathematics|VIII|13</t>
  </si>
  <si>
    <t>Area</t>
  </si>
  <si>
    <t>Mathematics|VIII|14</t>
  </si>
  <si>
    <t>Orienting Yourself: The Use of Coordinates</t>
  </si>
  <si>
    <t>Mathematics|IX|1</t>
  </si>
  <si>
    <t>Introduction to Linear Polynomials</t>
  </si>
  <si>
    <t>Mathematics|IX|2</t>
  </si>
  <si>
    <t>The World of Numbers</t>
  </si>
  <si>
    <t>Mathematics|IX|3</t>
  </si>
  <si>
    <t>Exploring Algebraic Identities</t>
  </si>
  <si>
    <t>Mathematics|IX|4</t>
  </si>
  <si>
    <t>I'm Up and Down, and Round and Round</t>
  </si>
  <si>
    <t>Mathematics|IX|5</t>
  </si>
  <si>
    <t>Measuring Space: Perimeter and Area</t>
  </si>
  <si>
    <t>Mathematics|IX|6</t>
  </si>
  <si>
    <t>The Mathematics of Maybe: Introduction to Probability</t>
  </si>
  <si>
    <t>Mathematics|IX|7</t>
  </si>
  <si>
    <t>Predicting What Comes Next: Exploring Sequences and Progressions</t>
  </si>
  <si>
    <t>Mathematics|IX|8</t>
  </si>
  <si>
    <t>Chapter 9: (Placeholder — awaiting NCERT release)</t>
  </si>
  <si>
    <t>Mathematics|IX|9</t>
  </si>
  <si>
    <t>Chapter 10: (Placeholder — awaiting NCERT release)</t>
  </si>
  <si>
    <t>Mathematics|IX|10</t>
  </si>
  <si>
    <t>Chapter 11: (Placeholder — awaiting NCERT release)</t>
  </si>
  <si>
    <t>Mathematics|IX|11</t>
  </si>
  <si>
    <t>Chapter 12: (Placeholder — awaiting NCERT release)</t>
  </si>
  <si>
    <t>Mathematics|IX|12</t>
  </si>
  <si>
    <t>Chapter 13: (Placeholder — awaiting NCERT release)</t>
  </si>
  <si>
    <t>Mathematics|IX|13</t>
  </si>
  <si>
    <t>Chapter 14: (Placeholder — awaiting NCERT release)</t>
  </si>
  <si>
    <t>Mathematics|IX|14</t>
  </si>
  <si>
    <t>Chapter 15: (Placeholder — awaiting NCERT release)</t>
  </si>
  <si>
    <t>Mathematics|IX|15</t>
  </si>
  <si>
    <t>Chapter 16: (Placeholder — awaiting NCERT release)</t>
  </si>
  <si>
    <t>Mathematics|IX|16</t>
  </si>
  <si>
    <t>Science</t>
  </si>
  <si>
    <t>The Wonderful World of Science</t>
  </si>
  <si>
    <t>Science|VI|1</t>
  </si>
  <si>
    <t>Diversity in the Living World</t>
  </si>
  <si>
    <t>Science|VI|2</t>
  </si>
  <si>
    <t>Mindful Eating: A Path to a Healthy Body</t>
  </si>
  <si>
    <t>Science|VI|3</t>
  </si>
  <si>
    <t>Exploring Magnets</t>
  </si>
  <si>
    <t>Science|VI|4</t>
  </si>
  <si>
    <t>Measurement of Length and Motion</t>
  </si>
  <si>
    <t>Science|VI|5</t>
  </si>
  <si>
    <t>Materials Around Us</t>
  </si>
  <si>
    <t>Science|VI|6</t>
  </si>
  <si>
    <t>Temperature and its Measurement</t>
  </si>
  <si>
    <t>Science|VI|7</t>
  </si>
  <si>
    <t>A Journey through States of Water</t>
  </si>
  <si>
    <t>Science|VI|8</t>
  </si>
  <si>
    <t>Methods of Separation in Everyday Life</t>
  </si>
  <si>
    <t>Science|VI|9</t>
  </si>
  <si>
    <t>Living Creatures: Exploring their Characteristics</t>
  </si>
  <si>
    <t>Science|VI|10</t>
  </si>
  <si>
    <t>Nature's Treasures</t>
  </si>
  <si>
    <t>Science|VI|11</t>
  </si>
  <si>
    <t>Beyond Earth</t>
  </si>
  <si>
    <t>Science|VI|12</t>
  </si>
  <si>
    <t>The Ever-Evolving World of Science</t>
  </si>
  <si>
    <t>Science|VII|1</t>
  </si>
  <si>
    <t>Exploring Substances: Acidic, Basic, and Neutral</t>
  </si>
  <si>
    <t>Science|VII|2</t>
  </si>
  <si>
    <t>Electricity — Circuits and their Components</t>
  </si>
  <si>
    <t>Science|VII|3</t>
  </si>
  <si>
    <t>The World of Metals and Non-metals</t>
  </si>
  <si>
    <t>Science|VII|4</t>
  </si>
  <si>
    <t>Changes Around Us — Physical and Chemical</t>
  </si>
  <si>
    <t>Science|VII|5</t>
  </si>
  <si>
    <t>Adolescence — A Stage of Growth and Change</t>
  </si>
  <si>
    <t>Science|VII|6</t>
  </si>
  <si>
    <t>Heat Transfer in Nature</t>
  </si>
  <si>
    <t>Science|VII|7</t>
  </si>
  <si>
    <t>Measurement of Time and Motion</t>
  </si>
  <si>
    <t>Science|VII|8</t>
  </si>
  <si>
    <t>Life Processes in Animals</t>
  </si>
  <si>
    <t>Science|VII|9</t>
  </si>
  <si>
    <t>Life Processes in Plants</t>
  </si>
  <si>
    <t>Science|VII|10</t>
  </si>
  <si>
    <t>Light — Shadows and Reflections</t>
  </si>
  <si>
    <t>Science|VII|11</t>
  </si>
  <si>
    <t>Earth, Moon, and the Sun</t>
  </si>
  <si>
    <t>Science|VII|12</t>
  </si>
  <si>
    <t>Exploring the Investigative World of Science</t>
  </si>
  <si>
    <t>Science|VIII|1</t>
  </si>
  <si>
    <t>The Invisible Living World: Beyond Our Naked Eye</t>
  </si>
  <si>
    <t>Science|VIII|2</t>
  </si>
  <si>
    <t>Health: The Ultimate Treasure</t>
  </si>
  <si>
    <t>Science|VIII|3</t>
  </si>
  <si>
    <t>Electricity: Magnetic and Heating Effects</t>
  </si>
  <si>
    <t>Science|VIII|4</t>
  </si>
  <si>
    <t>Exploring Forces</t>
  </si>
  <si>
    <t>Science|VIII|5</t>
  </si>
  <si>
    <t>Pressure, Winds, Storms, and Cyclones</t>
  </si>
  <si>
    <t>Science|VIII|6</t>
  </si>
  <si>
    <t>Particulate Nature of Matter</t>
  </si>
  <si>
    <t>Science|VIII|7</t>
  </si>
  <si>
    <t>Nature of Matter: Elements, Compounds, and Mixtures</t>
  </si>
  <si>
    <t>Science|VIII|8</t>
  </si>
  <si>
    <t>The Amazing World of Solutes, Solvents, and Solutions</t>
  </si>
  <si>
    <t>Science|VIII|9</t>
  </si>
  <si>
    <t>Light: Mirrors and Lenses</t>
  </si>
  <si>
    <t>Science|VIII|10</t>
  </si>
  <si>
    <t>Keeping Time with the Skies</t>
  </si>
  <si>
    <t>Science|VIII|11</t>
  </si>
  <si>
    <t>How Nature Works in Harmony</t>
  </si>
  <si>
    <t>Science|VIII|12</t>
  </si>
  <si>
    <t>Our Home: Earth, a Unique Life Sustaining Planet</t>
  </si>
  <si>
    <t>Science|VIII|13</t>
  </si>
  <si>
    <t>Exploration: Entering the World of Secondary Science</t>
  </si>
  <si>
    <t>Science|IX|1</t>
  </si>
  <si>
    <t>Cell: The Building Block of Life</t>
  </si>
  <si>
    <t>Science|IX|2</t>
  </si>
  <si>
    <t>Tissues in Action</t>
  </si>
  <si>
    <t>Science|IX|3</t>
  </si>
  <si>
    <t>Describing Motion Around Us</t>
  </si>
  <si>
    <t>Science|IX|4</t>
  </si>
  <si>
    <t>Exploring Mixtures and their Separation</t>
  </si>
  <si>
    <t>Science|IX|5</t>
  </si>
  <si>
    <t>How Forces Affect Motion</t>
  </si>
  <si>
    <t>Science|IX|6</t>
  </si>
  <si>
    <t>Work, Energy, and Simple Machines</t>
  </si>
  <si>
    <t>Science|IX|7</t>
  </si>
  <si>
    <t>Journey Inside the Atom</t>
  </si>
  <si>
    <t>Science|IX|8</t>
  </si>
  <si>
    <t>Atomic Foundations of Matter</t>
  </si>
  <si>
    <t>Science|IX|9</t>
  </si>
  <si>
    <t>Sound Waves: Characteristics and Applications</t>
  </si>
  <si>
    <t>Science|IX|10</t>
  </si>
  <si>
    <t>Reproduction: How Life Continues</t>
  </si>
  <si>
    <t>Science|IX|11</t>
  </si>
  <si>
    <t>Patterns in Life: Diversity and Classification</t>
  </si>
  <si>
    <t>Science|IX|12</t>
  </si>
  <si>
    <t>Earth as a System: Energy, Matter, and Life</t>
  </si>
  <si>
    <t>Science|IX|13</t>
  </si>
  <si>
    <t>Social Sciences</t>
  </si>
  <si>
    <t>Chapter 1: Locating Places on the Earth</t>
  </si>
  <si>
    <t>Social Sciences|VI|1</t>
  </si>
  <si>
    <t>Chapter 02: Oceans and Continents</t>
  </si>
  <si>
    <t>Social Sciences|VI|2</t>
  </si>
  <si>
    <t>Chapter 3: Landforms and Life</t>
  </si>
  <si>
    <t>Social Sciences|VI|3</t>
  </si>
  <si>
    <t>Chapter 4: Timeline and Sources of History</t>
  </si>
  <si>
    <t>Social Sciences|VI|4</t>
  </si>
  <si>
    <t>Chapter 5: India, That Is Bharat</t>
  </si>
  <si>
    <t>Social Sciences|VI|5</t>
  </si>
  <si>
    <t>Chapter 6: The Beginnings of Indian Civilisation</t>
  </si>
  <si>
    <t>Social Sciences|VI|6</t>
  </si>
  <si>
    <t>Chapter 7: India's Cultural Roots</t>
  </si>
  <si>
    <t>Social Sciences|VI|7</t>
  </si>
  <si>
    <t>Chapter 8: Unity in Diversity, or 'Many in the One'</t>
  </si>
  <si>
    <t>Social Sciences|VI|8</t>
  </si>
  <si>
    <t>Chapter 9: Family and Community</t>
  </si>
  <si>
    <t>Social Sciences|VI|9</t>
  </si>
  <si>
    <t>Chapter 10: Grassroots Democracy – Part 1 Governance</t>
  </si>
  <si>
    <t>Social Sciences|VI|10</t>
  </si>
  <si>
    <t>Chapter 11: Grassroots Democracy – Part 2: Local Government in Rural Areas</t>
  </si>
  <si>
    <t>Social Sciences|VI|11</t>
  </si>
  <si>
    <t>Grassroots Democracy – Part 3 Local Government in Urban Areas</t>
  </si>
  <si>
    <t>Social Sciences|VI|12</t>
  </si>
  <si>
    <t>Chapter 13: The Value of Work</t>
  </si>
  <si>
    <t>Social Sciences|VI|13</t>
  </si>
  <si>
    <t>Chapter 14: Economic Activities Around Us</t>
  </si>
  <si>
    <t>Social Sciences|VI|14</t>
  </si>
  <si>
    <t>Geographical Diversity of India</t>
  </si>
  <si>
    <t>Social Sciences|VII|1</t>
  </si>
  <si>
    <t>Understanding the Weather</t>
  </si>
  <si>
    <t>Social Sciences|VII|2</t>
  </si>
  <si>
    <t>Climates of India</t>
  </si>
  <si>
    <t>Social Sciences|VII|3</t>
  </si>
  <si>
    <t>New Beginnings - Cities and States</t>
  </si>
  <si>
    <t>Social Sciences|VII|4</t>
  </si>
  <si>
    <t>The Rise of Empires</t>
  </si>
  <si>
    <t>Social Sciences|VII|5</t>
  </si>
  <si>
    <t>The Age of Reorganisation</t>
  </si>
  <si>
    <t>Social Sciences|VII|6</t>
  </si>
  <si>
    <t>The Gupta Era - An Age of Tireless Creativity</t>
  </si>
  <si>
    <t>Social Sciences|VII|7</t>
  </si>
  <si>
    <t>How the Land Becomes Sacred</t>
  </si>
  <si>
    <t>Social Sciences|VII|8</t>
  </si>
  <si>
    <t>From the Rulers to the Ruled - Types of Governments</t>
  </si>
  <si>
    <t>Social Sciences|VII|9</t>
  </si>
  <si>
    <t>The Constitution of India - An Introduction</t>
  </si>
  <si>
    <t>Social Sciences|VII|10</t>
  </si>
  <si>
    <t>From Barter to Money</t>
  </si>
  <si>
    <t>Social Sciences|VII|11</t>
  </si>
  <si>
    <t>Understanding Markets</t>
  </si>
  <si>
    <t>Social Sciences|VII|12</t>
  </si>
  <si>
    <t>Chapter 1: Natural Resources and Their Use</t>
  </si>
  <si>
    <t>Social Sciences|VIII|1</t>
  </si>
  <si>
    <t>Chapter 2: Reshaping India's Political Map</t>
  </si>
  <si>
    <t>Social Sciences|VIII|2</t>
  </si>
  <si>
    <t>Chapter 3: The Rise of the Marathas</t>
  </si>
  <si>
    <t>Social Sciences|VIII|3</t>
  </si>
  <si>
    <t>Chapter 4: The Colonial Era in India</t>
  </si>
  <si>
    <t>Social Sciences|VIII|4</t>
  </si>
  <si>
    <t>Chapter 5: Universal Franchise and India's Electoral System</t>
  </si>
  <si>
    <t>Social Sciences|VIII|5</t>
  </si>
  <si>
    <t>Chapter 6: The Parliamentary System: Legislature and Executive</t>
  </si>
  <si>
    <t>Social Sciences|VIII|6</t>
  </si>
  <si>
    <t>Chapter 7: Factors of Production</t>
  </si>
  <si>
    <t>Social Sciences|VIII|7</t>
  </si>
  <si>
    <t>Chapter 8: World Geography: Some Glimpses</t>
  </si>
  <si>
    <t>Social Sciences|VIII|8</t>
  </si>
  <si>
    <t>Chapter 9: India's Long Road to Independence</t>
  </si>
  <si>
    <t>Social Sciences|VIII|9</t>
  </si>
  <si>
    <t>Chapter 10: A Journey Through Indian Architecture</t>
  </si>
  <si>
    <t>Social Sciences|VIII|10</t>
  </si>
  <si>
    <t>Chapter 11: The Role of the Judiciary in Our Society</t>
  </si>
  <si>
    <t>Social Sciences|VIII|11</t>
  </si>
  <si>
    <t>Chapter 12: Citizenship: Rights and Duties</t>
  </si>
  <si>
    <t>Social Sciences|VIII|12</t>
  </si>
  <si>
    <t>Chapter 13: Dynamics of Population</t>
  </si>
  <si>
    <t>Social Sciences|VIII|13</t>
  </si>
  <si>
    <t>Chapter 14: India's Urban Landscape</t>
  </si>
  <si>
    <t>Social Sciences|VIII|14</t>
  </si>
  <si>
    <t>Chapter 15: Cultural Currents: 13th to 17th Centuries</t>
  </si>
  <si>
    <t>Social Sciences|VIII|15</t>
  </si>
  <si>
    <t>Chapter 1: Understanding Social Science</t>
  </si>
  <si>
    <t>Social Sciences|IX|1</t>
  </si>
  <si>
    <t>Chapter 2: Shaping of the Earth's Surface</t>
  </si>
  <si>
    <t>Social Sciences|IX|2</t>
  </si>
  <si>
    <t>Chapter 3: Atmosphere and Climate</t>
  </si>
  <si>
    <t>Social Sciences|IX|3</t>
  </si>
  <si>
    <t>Chapter 4: Early Humans and Beginning of Civilisation</t>
  </si>
  <si>
    <t>Social Sciences|IX|4</t>
  </si>
  <si>
    <t>Chapter 5: State and Society up to 1000 CE</t>
  </si>
  <si>
    <t>Social Sciences|IX|5</t>
  </si>
  <si>
    <t>Chapter 6: Democracy</t>
  </si>
  <si>
    <t>Social Sciences|IX|6</t>
  </si>
  <si>
    <t>Chapter 7: Elections</t>
  </si>
  <si>
    <t>Social Sciences|IX|7</t>
  </si>
  <si>
    <t>Chapter 8: Building Blocks in Economics: The Problem of Choice</t>
  </si>
  <si>
    <t>Social Sciences|IX|8</t>
  </si>
  <si>
    <t>Chapter 9: The Price Puzzle: What Drives the Market</t>
  </si>
  <si>
    <t>Social Sciences|IX|9</t>
  </si>
  <si>
    <t>Social Sciences|IX|10</t>
  </si>
  <si>
    <t>Social Sciences|IX|11</t>
  </si>
  <si>
    <t>Social Sciences|IX|12</t>
  </si>
  <si>
    <t>Social Sciences|IX|13</t>
  </si>
  <si>
    <t>Social Sciences|IX|14</t>
  </si>
  <si>
    <t>Social Sciences|IX|15</t>
  </si>
  <si>
    <t>Social Sciences|IX|16</t>
  </si>
  <si>
    <t>Chapter 17: (Placeholder — awaiting NCERT release)</t>
  </si>
  <si>
    <t>Social Sciences|IX|17</t>
  </si>
  <si>
    <t>Chapter 18: (Placeholder — awaiting NCERT release)</t>
  </si>
  <si>
    <t>Social Sciences|IX|18</t>
  </si>
  <si>
    <t>The World Around Us</t>
  </si>
  <si>
    <t>Family and Friends</t>
  </si>
  <si>
    <t>The World Around Us|III|1</t>
  </si>
  <si>
    <t>Going to the Mela</t>
  </si>
  <si>
    <t>The World Around Us|III|2</t>
  </si>
  <si>
    <t>Celebrating Festivals</t>
  </si>
  <si>
    <t>The World Around Us|III|3</t>
  </si>
  <si>
    <t>Getting to Know Plants</t>
  </si>
  <si>
    <t>The World Around Us|III|4</t>
  </si>
  <si>
    <t>Plants and Animals Live Together</t>
  </si>
  <si>
    <t>The World Around Us|III|5</t>
  </si>
  <si>
    <t>Living in Harmony</t>
  </si>
  <si>
    <t>The World Around Us|III|6</t>
  </si>
  <si>
    <t>Water–A Precious Gift</t>
  </si>
  <si>
    <t>The World Around Us|III|7</t>
  </si>
  <si>
    <t>Food We Eat</t>
  </si>
  <si>
    <t>The World Around Us|III|8</t>
  </si>
  <si>
    <t>Staying Healthy and Happy</t>
  </si>
  <si>
    <t>The World Around Us|III|9</t>
  </si>
  <si>
    <t>This World of Things</t>
  </si>
  <si>
    <t>The World Around Us|III|10</t>
  </si>
  <si>
    <t>Making Things</t>
  </si>
  <si>
    <t>The World Around Us|III|11</t>
  </si>
  <si>
    <t>Taking Charge of Waste</t>
  </si>
  <si>
    <t>The World Around Us|III|12</t>
  </si>
  <si>
    <t>Living Together</t>
  </si>
  <si>
    <t>The World Around Us|IV|1</t>
  </si>
  <si>
    <t>Exploring Our Neighbourhood</t>
  </si>
  <si>
    <t>The World Around Us|IV|2</t>
  </si>
  <si>
    <t>Nature Trail</t>
  </si>
  <si>
    <t>The World Around Us|IV|3</t>
  </si>
  <si>
    <t>Growing up with Nature</t>
  </si>
  <si>
    <t>The World Around Us|IV|4</t>
  </si>
  <si>
    <t>Food for Health</t>
  </si>
  <si>
    <t>The World Around Us|IV|5</t>
  </si>
  <si>
    <t>Happy and Healthy Living</t>
  </si>
  <si>
    <t>The World Around Us|IV|6</t>
  </si>
  <si>
    <t>How Things Work</t>
  </si>
  <si>
    <t>The World Around Us|IV|7</t>
  </si>
  <si>
    <t>How Things are Made</t>
  </si>
  <si>
    <t>The World Around Us|IV|8</t>
  </si>
  <si>
    <t>Different Lands, Different Lives</t>
  </si>
  <si>
    <t>The World Around Us|IV|9</t>
  </si>
  <si>
    <t>Our Sky</t>
  </si>
  <si>
    <t>The World Around Us|IV|10</t>
  </si>
  <si>
    <t>Water — The Essence of Life</t>
  </si>
  <si>
    <t>The World Around Us|V|1</t>
  </si>
  <si>
    <t>Journey of a River</t>
  </si>
  <si>
    <t>The World Around Us|V|2</t>
  </si>
  <si>
    <t>The Mystery of Food</t>
  </si>
  <si>
    <t>The World Around Us|V|3</t>
  </si>
  <si>
    <t>Our School—A Happy Place</t>
  </si>
  <si>
    <t>The World Around Us|V|4</t>
  </si>
  <si>
    <t>Our Vibrant Country</t>
  </si>
  <si>
    <t>The World Around Us|V|5</t>
  </si>
  <si>
    <t>Some Unique Places</t>
  </si>
  <si>
    <t>The World Around Us|V|6</t>
  </si>
  <si>
    <t>Energy—How Things Work</t>
  </si>
  <si>
    <t>The World Around Us|V|7</t>
  </si>
  <si>
    <t>Clothes—How Things are Made</t>
  </si>
  <si>
    <t>The World Around Us|V|8</t>
  </si>
  <si>
    <t>Rhythms of Nature</t>
  </si>
  <si>
    <t>The World Around Us|V|9</t>
  </si>
  <si>
    <t>Earth—Our Shared Home</t>
  </si>
  <si>
    <t>The World Around Us|V|10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</si>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</sst>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##"/>
  </numFmts>
  <fonts count="12" x14ac:knownFonts="1">
    <font>
      <sz val="11"/>
      <color theme="1"/>
      <name val="Calibri"/>
      <family val="2"/>
      <charset val="1"/>
    </font>
    <font>
      <b/>
      <sz val="14"/>
      <color rgb="FF2E4034"/>
      <name val="Arial"/>
      <family val="2"/>
      <charset val="1"/>
    </font>
    <font>
      <i/>
      <sz val="9"/>
      <color rgb="FF6A6152"/>
      <name val="Arial"/>
      <family val="2"/>
      <charset val="1"/>
    </font>
    <font>
      <b/>
      <sz val="10"/>
      <color rgb="FF1A1A1A"/>
      <name val="Arial"/>
      <family val="2"/>
      <charset val="1"/>
    </font>
    <font>
      <b/>
      <sz val="10"/>
      <color rgb="FF2E4034"/>
      <name val="Arial"/>
      <family val="2"/>
      <charset val="1"/>
    </font>
    <font>
      <b/>
      <sz val="11"/>
      <color theme="1"/>
      <name val="Calibri"/>
      <family val="2"/>
      <charset val="1"/>
    </font>
    <font>
      <i/>
      <sz val="9"/>
      <color rgb="FF9A3B1E"/>
      <name val="Arial"/>
      <family val="2"/>
      <charset val="1"/>
    </font>
    <font>
      <b/>
      <sz val="9"/>
      <color rgb="FF6A6152"/>
      <name val="Arial"/>
      <family val="2"/>
      <charset val="1"/>
    </font>
    <font>
      <sz val="10"/>
      <color rgb="FF1A1A1A"/>
      <name val="Arial"/>
      <family val="2"/>
      <charset val="1"/>
    </font>
    <font>
      <sz val="10"/>
      <name val="Arial"/>
      <family val="2"/>
      <charset val="1"/>
    </font>
    <font>
      <sz val="10"/>
      <color theme="1"/>
      <name val="Arial"/>
      <family val="2"/>
      <charset val="1"/>
    </font>
    <font>
      <sz val="12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BE5C8"/>
        <bgColor rgb="FFEEE7D8"/>
      </patternFill>
    </fill>
    <fill>
      <patternFill patternType="solid">
        <fgColor rgb="FFFFFF00"/>
        <bgColor rgb="FFFFFF00"/>
      </patternFill>
    </fill>
    <fill>
      <patternFill patternType="solid">
        <fgColor rgb="FFEEE7D8"/>
        <bgColor rgb="FFFBE5C8"/>
      </patternFill>
    </fill>
  </fills>
  <borders count="6">
    <border>
      <left/>
      <right/>
      <top/>
      <bottom/>
      <diagonal/>
    </border>
    <border>
      <left style="thin">
        <color rgb="FFC9C2B4"/>
      </left>
      <right style="thin">
        <color rgb="FFC9C2B4"/>
      </right>
      <top style="thin">
        <color rgb="FFC9C2B4"/>
      </top>
      <bottom style="thin">
        <color rgb="FFC9C2B4"/>
      </bottom>
      <diagonal/>
    </border>
    <border>
      <left/>
      <right/>
      <top/>
      <bottom style="medium">
        <color rgb="FF5A5347"/>
      </bottom>
      <diagonal/>
    </border>
    <border>
      <left/>
      <right/>
      <top style="medium">
        <color rgb="FF5A5347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left"/>
    </xf>
    <xf numFmtId="0" fontId="5" fillId="3" borderId="0" xfId="0" applyFont="1" applyFill="1"/>
    <xf numFmtId="0" fontId="0" fillId="3" borderId="0" xfId="0" applyFill="1"/>
    <xf numFmtId="0" fontId="5" fillId="0" borderId="0" xfId="0" applyFont="1"/>
    <xf numFmtId="0" fontId="2" fillId="0" borderId="0" xfId="0" applyFont="1"/>
    <xf numFmtId="0" fontId="7" fillId="4" borderId="2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/>
    <xf numFmtId="164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3" fillId="0" borderId="3" xfId="0" applyFont="1" applyBorder="1"/>
    <xf numFmtId="164" fontId="3" fillId="0" borderId="3" xfId="0" applyNumberFormat="1" applyFont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4" xfId="0" applyFont="1" applyBorder="1"/>
    <xf numFmtId="0" fontId="5" fillId="0" borderId="4" xfId="0" applyFont="1" applyBorder="1" applyAlignment="1">
      <alignment horizontal="center"/>
    </xf>
    <xf numFmtId="0" fontId="9" fillId="0" borderId="4" xfId="0" applyFont="1" applyBorder="1" applyAlignment="1">
      <alignment vertical="center" wrapText="1"/>
    </xf>
    <xf numFmtId="0" fontId="0" fillId="0" borderId="4" xfId="0" applyBorder="1" applyAlignment="1">
      <alignment horizontal="center"/>
    </xf>
    <xf numFmtId="1" fontId="10" fillId="0" borderId="4" xfId="0" applyNumberFormat="1" applyFont="1" applyBorder="1" applyAlignment="1">
      <alignment horizontal="center" vertical="center" shrinkToFit="1"/>
    </xf>
    <xf numFmtId="0" fontId="11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vertical="center" wrapText="1"/>
    </xf>
    <xf numFmtId="0" fontId="1" fillId="0" borderId="0" xfId="0" applyFont="1"/>
    <xf numFmtId="0" fontId="0" fillId="0" borderId="0" xfId="0"/>
    <xf numFmtId="0" fontId="6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EE7D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2B4"/>
      <rgbColor rgb="FF808080"/>
      <rgbColor rgb="FF9999FF"/>
      <rgbColor rgb="FF993366"/>
      <rgbColor rgb="FFFBE5C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A6152"/>
      <rgbColor rgb="FF969696"/>
      <rgbColor rgb="FF003366"/>
      <rgbColor rgb="FF339966"/>
      <rgbColor rgb="FF003300"/>
      <rgbColor rgb="FF1A1A1A"/>
      <rgbColor rgb="FF9A3B1E"/>
      <rgbColor rgb="FF993366"/>
      <rgbColor rgb="FF5A5347"/>
      <rgbColor rgb="FF2E403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showGridLines="0" tabSelected="1" topLeftCell="B1" zoomScaleNormal="100" workbookViewId="0">
      <selection activeCell="B4" sqref="B4"/>
    </sheetView>
  </sheetViews>
  <sheetFormatPr baseColWidth="10" defaultColWidth="8.83203125" defaultRowHeight="15" x14ac:dyDescent="0.2"/>
  <cols>
    <col min="1" max="1" width="13" customWidth="1"/>
    <col min="2" max="2" width="46" customWidth="1"/>
    <col min="3" max="4" width="12" customWidth="1"/>
  </cols>
  <sheetData>
    <row r="1" spans="1:8" ht="18" customHeight="1" x14ac:dyDescent="0.2">
      <c r="A1" s="24" t="s">
        <v>0</v>
      </c>
      <c r="B1" s="25"/>
      <c r="C1" s="25"/>
      <c r="D1" s="25"/>
    </row>
    <row r="2" spans="1:8" ht="30" customHeight="1" x14ac:dyDescent="0.2">
      <c r="A2" s="27" t="s">
        <v>1</v>
      </c>
      <c r="B2" s="25"/>
      <c r="C2" s="25"/>
      <c r="D2" s="25"/>
    </row>
    <row r="4" spans="1:8" ht="15" customHeight="1" x14ac:dyDescent="0.2">
      <c r="A4" s="1" t="s">
        <v>2</v>
      </c>
      <c r="B4" s="2" t="s">
        <v>634</v>
      </c>
      <c r="G4" s="3" t="s">
        <v>4</v>
      </c>
      <c r="H4" s="4"/>
    </row>
    <row r="5" spans="1:8" ht="15" customHeight="1" x14ac:dyDescent="0.2">
      <c r="A5" s="1" t="s">
        <v>5</v>
      </c>
      <c r="B5" s="2" t="s">
        <v>6</v>
      </c>
      <c r="G5" s="5" t="s">
        <v>7</v>
      </c>
    </row>
    <row r="6" spans="1:8" ht="15" customHeight="1" x14ac:dyDescent="0.2">
      <c r="A6" s="1" t="s">
        <v>8</v>
      </c>
      <c r="B6" s="2">
        <f>IF(COUNTIFS(budget!$A:$A,$B$4,budget!$B:$B,$B$5)=0,"",IF(SUMIFS(budget!$C:$C,budget!$A:$A,$B$4,budget!$B:$B,$B$5)=0,"",SUMIFS(budget!$C:$C,budget!$A:$A,$B$4,budget!$B:$B,$B$5)))</f>
        <v>140</v>
      </c>
      <c r="C6" s="6" t="s">
        <v>9</v>
      </c>
      <c r="G6" s="5" t="s">
        <v>10</v>
      </c>
    </row>
    <row r="7" spans="1:8" ht="15" customHeight="1" x14ac:dyDescent="0.2">
      <c r="A7" s="26" t="str">
        <f>IF($B$4="","Choose a subject and class, then enter your annual budget.",IF(COUNTIFS(Chapters!$A:$A,$B$4,Chapters!$B:$B,$B$5)=0,"No chapters found for this subject and class - try another combination.",IF($B$6="","Enter your annual budget (periods) above.","")))</f>
        <v/>
      </c>
      <c r="B7" s="25"/>
      <c r="C7" s="25"/>
      <c r="D7" s="25"/>
      <c r="G7" s="5" t="s">
        <v>11</v>
      </c>
    </row>
    <row r="9" spans="1:8" ht="15" customHeight="1" x14ac:dyDescent="0.2">
      <c r="A9" s="7" t="s">
        <v>12</v>
      </c>
      <c r="B9" s="8" t="s">
        <v>13</v>
      </c>
      <c r="C9" s="7" t="s">
        <v>14</v>
      </c>
      <c r="D9" s="7" t="s">
        <v>15</v>
      </c>
    </row>
    <row r="10" spans="1:8" ht="15" customHeight="1" x14ac:dyDescent="0.2">
      <c r="A10" s="9">
        <f>IFERROR(INDEX(Chapters!$C:$C,MATCH($B$4&amp;"|"&amp;$B$5&amp;"|"&amp;(ROW()-9),Chapters!$F:$F,0)),"")</f>
        <v>1</v>
      </c>
      <c r="B10" s="10" t="str">
        <f>IFERROR(INDEX(Chapters!$D:$D,MATCH($B$4&amp;"|"&amp;$B$5&amp;"|"&amp;(ROW()-9),Chapters!$F:$F,0)),"")</f>
        <v>Family and Friends</v>
      </c>
      <c r="C10" s="11">
        <f>IFERROR(INDEX(Chapters!$E:$E,MATCH($B$4&amp;"|"&amp;$B$5&amp;"|"&amp;(ROW()-9),Chapters!$F:$F,0)),"")</f>
        <v>6</v>
      </c>
      <c r="D10" s="12">
        <f>IF(OR($C10="",$C$28=0,$B$6=""),"",ROUND(SUM($C$10:$C10)/$C$28*$B$6,0)-ROUND((SUM($C$10:$C10)-$C10)/$C$28*$B$6,0))</f>
        <v>10</v>
      </c>
    </row>
    <row r="11" spans="1:8" ht="15" customHeight="1" x14ac:dyDescent="0.2">
      <c r="A11" s="9">
        <f>IFERROR(INDEX(Chapters!$C:$C,MATCH($B$4&amp;"|"&amp;$B$5&amp;"|"&amp;(ROW()-9),Chapters!$F:$F,0)),"")</f>
        <v>2</v>
      </c>
      <c r="B11" s="10" t="str">
        <f>IFERROR(INDEX(Chapters!$D:$D,MATCH($B$4&amp;"|"&amp;$B$5&amp;"|"&amp;(ROW()-9),Chapters!$F:$F,0)),"")</f>
        <v>Going to the Mela</v>
      </c>
      <c r="C11" s="11">
        <f>IFERROR(INDEX(Chapters!$E:$E,MATCH($B$4&amp;"|"&amp;$B$5&amp;"|"&amp;(ROW()-9),Chapters!$F:$F,0)),"")</f>
        <v>6.5</v>
      </c>
      <c r="D11" s="12">
        <f>IF(OR($C11="",$C$28=0,$B$6=""),"",ROUND(SUM($C$10:$C11)/$C$28*$B$6,0)-ROUND((SUM($C$10:$C11)-$C11)/$C$28*$B$6,0))</f>
        <v>11</v>
      </c>
    </row>
    <row r="12" spans="1:8" ht="15" customHeight="1" x14ac:dyDescent="0.2">
      <c r="A12" s="9">
        <f>IFERROR(INDEX(Chapters!$C:$C,MATCH($B$4&amp;"|"&amp;$B$5&amp;"|"&amp;(ROW()-9),Chapters!$F:$F,0)),"")</f>
        <v>3</v>
      </c>
      <c r="B12" s="10" t="str">
        <f>IFERROR(INDEX(Chapters!$D:$D,MATCH($B$4&amp;"|"&amp;$B$5&amp;"|"&amp;(ROW()-9),Chapters!$F:$F,0)),"")</f>
        <v>Celebrating Festivals</v>
      </c>
      <c r="C12" s="11">
        <f>IFERROR(INDEX(Chapters!$E:$E,MATCH($B$4&amp;"|"&amp;$B$5&amp;"|"&amp;(ROW()-9),Chapters!$F:$F,0)),"")</f>
        <v>6</v>
      </c>
      <c r="D12" s="12">
        <f>IF(OR($C12="",$C$28=0,$B$6=""),"",ROUND(SUM($C$10:$C12)/$C$28*$B$6,0)-ROUND((SUM($C$10:$C12)-$C12)/$C$28*$B$6,0))</f>
        <v>11</v>
      </c>
    </row>
    <row r="13" spans="1:8" ht="15" customHeight="1" x14ac:dyDescent="0.2">
      <c r="A13" s="9">
        <f>IFERROR(INDEX(Chapters!$C:$C,MATCH($B$4&amp;"|"&amp;$B$5&amp;"|"&amp;(ROW()-9),Chapters!$F:$F,0)),"")</f>
        <v>4</v>
      </c>
      <c r="B13" s="10" t="str">
        <f>IFERROR(INDEX(Chapters!$D:$D,MATCH($B$4&amp;"|"&amp;$B$5&amp;"|"&amp;(ROW()-9),Chapters!$F:$F,0)),"")</f>
        <v>Getting to Know Plants</v>
      </c>
      <c r="C13" s="11">
        <f>IFERROR(INDEX(Chapters!$E:$E,MATCH($B$4&amp;"|"&amp;$B$5&amp;"|"&amp;(ROW()-9),Chapters!$F:$F,0)),"")</f>
        <v>7.5</v>
      </c>
      <c r="D13" s="12">
        <f>IF(OR($C13="",$C$28=0,$B$6=""),"",ROUND(SUM($C$10:$C13)/$C$28*$B$6,0)-ROUND((SUM($C$10:$C13)-$C13)/$C$28*$B$6,0))</f>
        <v>13</v>
      </c>
    </row>
    <row r="14" spans="1:8" ht="15" customHeight="1" x14ac:dyDescent="0.2">
      <c r="A14" s="9">
        <f>IFERROR(INDEX(Chapters!$C:$C,MATCH($B$4&amp;"|"&amp;$B$5&amp;"|"&amp;(ROW()-9),Chapters!$F:$F,0)),"")</f>
        <v>5</v>
      </c>
      <c r="B14" s="10" t="str">
        <f>IFERROR(INDEX(Chapters!$D:$D,MATCH($B$4&amp;"|"&amp;$B$5&amp;"|"&amp;(ROW()-9),Chapters!$F:$F,0)),"")</f>
        <v>Plants and Animals Live Together</v>
      </c>
      <c r="C14" s="11">
        <f>IFERROR(INDEX(Chapters!$E:$E,MATCH($B$4&amp;"|"&amp;$B$5&amp;"|"&amp;(ROW()-9),Chapters!$F:$F,0)),"")</f>
        <v>6</v>
      </c>
      <c r="D14" s="12">
        <f>IF(OR($C14="",$C$28=0,$B$6=""),"",ROUND(SUM($C$10:$C14)/$C$28*$B$6,0)-ROUND((SUM($C$10:$C14)-$C14)/$C$28*$B$6,0))</f>
        <v>10</v>
      </c>
    </row>
    <row r="15" spans="1:8" ht="15" customHeight="1" x14ac:dyDescent="0.2">
      <c r="A15" s="9">
        <f>IFERROR(INDEX(Chapters!$C:$C,MATCH($B$4&amp;"|"&amp;$B$5&amp;"|"&amp;(ROW()-9),Chapters!$F:$F,0)),"")</f>
        <v>6</v>
      </c>
      <c r="B15" s="10" t="str">
        <f>IFERROR(INDEX(Chapters!$D:$D,MATCH($B$4&amp;"|"&amp;$B$5&amp;"|"&amp;(ROW()-9),Chapters!$F:$F,0)),"")</f>
        <v>Living in Harmony</v>
      </c>
      <c r="C15" s="11">
        <f>IFERROR(INDEX(Chapters!$E:$E,MATCH($B$4&amp;"|"&amp;$B$5&amp;"|"&amp;(ROW()-9),Chapters!$F:$F,0)),"")</f>
        <v>9.5</v>
      </c>
      <c r="D15" s="12">
        <f>IF(OR($C15="",$C$28=0,$B$6=""),"",ROUND(SUM($C$10:$C15)/$C$28*$B$6,0)-ROUND((SUM($C$10:$C15)-$C15)/$C$28*$B$6,0))</f>
        <v>16</v>
      </c>
    </row>
    <row r="16" spans="1:8" ht="15" customHeight="1" x14ac:dyDescent="0.2">
      <c r="A16" s="9">
        <f>IFERROR(INDEX(Chapters!$C:$C,MATCH($B$4&amp;"|"&amp;$B$5&amp;"|"&amp;(ROW()-9),Chapters!$F:$F,0)),"")</f>
        <v>7</v>
      </c>
      <c r="B16" s="10" t="str">
        <f>IFERROR(INDEX(Chapters!$D:$D,MATCH($B$4&amp;"|"&amp;$B$5&amp;"|"&amp;(ROW()-9),Chapters!$F:$F,0)),"")</f>
        <v>Water–A Precious Gift</v>
      </c>
      <c r="C16" s="11">
        <f>IFERROR(INDEX(Chapters!$E:$E,MATCH($B$4&amp;"|"&amp;$B$5&amp;"|"&amp;(ROW()-9),Chapters!$F:$F,0)),"")</f>
        <v>7.5</v>
      </c>
      <c r="D16" s="12">
        <f>IF(OR($C16="",$C$28=0,$B$6=""),"",ROUND(SUM($C$10:$C16)/$C$28*$B$6,0)-ROUND((SUM($C$10:$C16)-$C16)/$C$28*$B$6,0))</f>
        <v>13</v>
      </c>
    </row>
    <row r="17" spans="1:4" ht="15" customHeight="1" x14ac:dyDescent="0.2">
      <c r="A17" s="9">
        <f>IFERROR(INDEX(Chapters!$C:$C,MATCH($B$4&amp;"|"&amp;$B$5&amp;"|"&amp;(ROW()-9),Chapters!$F:$F,0)),"")</f>
        <v>8</v>
      </c>
      <c r="B17" s="10" t="str">
        <f>IFERROR(INDEX(Chapters!$D:$D,MATCH($B$4&amp;"|"&amp;$B$5&amp;"|"&amp;(ROW()-9),Chapters!$F:$F,0)),"")</f>
        <v>Food We Eat</v>
      </c>
      <c r="C17" s="11">
        <f>IFERROR(INDEX(Chapters!$E:$E,MATCH($B$4&amp;"|"&amp;$B$5&amp;"|"&amp;(ROW()-9),Chapters!$F:$F,0)),"")</f>
        <v>4</v>
      </c>
      <c r="D17" s="12">
        <f>IF(OR($C17="",$C$28=0,$B$6=""),"",ROUND(SUM($C$10:$C17)/$C$28*$B$6,0)-ROUND((SUM($C$10:$C17)-$C17)/$C$28*$B$6,0))</f>
        <v>7</v>
      </c>
    </row>
    <row r="18" spans="1:4" ht="15" customHeight="1" x14ac:dyDescent="0.2">
      <c r="A18" s="9">
        <f>IFERROR(INDEX(Chapters!$C:$C,MATCH($B$4&amp;"|"&amp;$B$5&amp;"|"&amp;(ROW()-9),Chapters!$F:$F,0)),"")</f>
        <v>9</v>
      </c>
      <c r="B18" s="10" t="str">
        <f>IFERROR(INDEX(Chapters!$D:$D,MATCH($B$4&amp;"|"&amp;$B$5&amp;"|"&amp;(ROW()-9),Chapters!$F:$F,0)),"")</f>
        <v>Staying Healthy and Happy</v>
      </c>
      <c r="C18" s="11">
        <f>IFERROR(INDEX(Chapters!$E:$E,MATCH($B$4&amp;"|"&amp;$B$5&amp;"|"&amp;(ROW()-9),Chapters!$F:$F,0)),"")</f>
        <v>3.5</v>
      </c>
      <c r="D18" s="12">
        <f>IF(OR($C18="",$C$28=0,$B$6=""),"",ROUND(SUM($C$10:$C18)/$C$28*$B$6,0)-ROUND((SUM($C$10:$C18)-$C18)/$C$28*$B$6,0))</f>
        <v>6</v>
      </c>
    </row>
    <row r="19" spans="1:4" ht="15" customHeight="1" x14ac:dyDescent="0.2">
      <c r="A19" s="9">
        <f>IFERROR(INDEX(Chapters!$C:$C,MATCH($B$4&amp;"|"&amp;$B$5&amp;"|"&amp;(ROW()-9),Chapters!$F:$F,0)),"")</f>
        <v>10</v>
      </c>
      <c r="B19" s="10" t="str">
        <f>IFERROR(INDEX(Chapters!$D:$D,MATCH($B$4&amp;"|"&amp;$B$5&amp;"|"&amp;(ROW()-9),Chapters!$F:$F,0)),"")</f>
        <v>This World of Things</v>
      </c>
      <c r="C19" s="11">
        <f>IFERROR(INDEX(Chapters!$E:$E,MATCH($B$4&amp;"|"&amp;$B$5&amp;"|"&amp;(ROW()-9),Chapters!$F:$F,0)),"")</f>
        <v>6</v>
      </c>
      <c r="D19" s="12">
        <f>IF(OR($C19="",$C$28=0,$B$6=""),"",ROUND(SUM($C$10:$C19)/$C$28*$B$6,0)-ROUND((SUM($C$10:$C19)-$C19)/$C$28*$B$6,0))</f>
        <v>10</v>
      </c>
    </row>
    <row r="20" spans="1:4" ht="15" customHeight="1" x14ac:dyDescent="0.2">
      <c r="A20" s="9">
        <f>IFERROR(INDEX(Chapters!$C:$C,MATCH($B$4&amp;"|"&amp;$B$5&amp;"|"&amp;(ROW()-9),Chapters!$F:$F,0)),"")</f>
        <v>11</v>
      </c>
      <c r="B20" s="10" t="str">
        <f>IFERROR(INDEX(Chapters!$D:$D,MATCH($B$4&amp;"|"&amp;$B$5&amp;"|"&amp;(ROW()-9),Chapters!$F:$F,0)),"")</f>
        <v>Making Things</v>
      </c>
      <c r="C20" s="11">
        <f>IFERROR(INDEX(Chapters!$E:$E,MATCH($B$4&amp;"|"&amp;$B$5&amp;"|"&amp;(ROW()-9),Chapters!$F:$F,0)),"")</f>
        <v>9.5</v>
      </c>
      <c r="D20" s="12">
        <f>IF(OR($C20="",$C$28=0,$B$6=""),"",ROUND(SUM($C$10:$C20)/$C$28*$B$6,0)-ROUND((SUM($C$10:$C20)-$C20)/$C$28*$B$6,0))</f>
        <v>17</v>
      </c>
    </row>
    <row r="21" spans="1:4" ht="15" customHeight="1" x14ac:dyDescent="0.2">
      <c r="A21" s="9">
        <f>IFERROR(INDEX(Chapters!$C:$C,MATCH($B$4&amp;"|"&amp;$B$5&amp;"|"&amp;(ROW()-9),Chapters!$F:$F,0)),"")</f>
        <v>12</v>
      </c>
      <c r="B21" s="10" t="str">
        <f>IFERROR(INDEX(Chapters!$D:$D,MATCH($B$4&amp;"|"&amp;$B$5&amp;"|"&amp;(ROW()-9),Chapters!$F:$F,0)),"")</f>
        <v>Taking Charge of Waste</v>
      </c>
      <c r="C21" s="11">
        <f>IFERROR(INDEX(Chapters!$E:$E,MATCH($B$4&amp;"|"&amp;$B$5&amp;"|"&amp;(ROW()-9),Chapters!$F:$F,0)),"")</f>
        <v>9.5</v>
      </c>
      <c r="D21" s="12">
        <f>IF(OR($C21="",$C$28=0,$B$6=""),"",ROUND(SUM($C$10:$C21)/$C$28*$B$6,0)-ROUND((SUM($C$10:$C21)-$C21)/$C$28*$B$6,0))</f>
        <v>16</v>
      </c>
    </row>
    <row r="22" spans="1:4" ht="15" customHeight="1" x14ac:dyDescent="0.2">
      <c r="A22" s="9" t="str">
        <f>IFERROR(INDEX(Chapters!$C:$C,MATCH($B$4&amp;"|"&amp;$B$5&amp;"|"&amp;(ROW()-9),Chapters!$F:$F,0)),"")</f>
        <v/>
      </c>
      <c r="B22" s="10" t="str">
        <f>IFERROR(INDEX(Chapters!$D:$D,MATCH($B$4&amp;"|"&amp;$B$5&amp;"|"&amp;(ROW()-9),Chapters!$F:$F,0)),"")</f>
        <v/>
      </c>
      <c r="C22" s="11" t="str">
        <f>IFERROR(INDEX(Chapters!$E:$E,MATCH($B$4&amp;"|"&amp;$B$5&amp;"|"&amp;(ROW()-9),Chapters!$F:$F,0)),"")</f>
        <v/>
      </c>
      <c r="D22" s="12" t="str">
        <f>IF(OR($C22="",$C$28=0,$B$6=""),"",ROUND(SUM($C$10:$C22)/$C$28*$B$6,0)-ROUND((SUM($C$10:$C22)-$C22)/$C$28*$B$6,0))</f>
        <v/>
      </c>
    </row>
    <row r="23" spans="1:4" ht="15" customHeight="1" x14ac:dyDescent="0.2">
      <c r="A23" s="9" t="str">
        <f>IFERROR(INDEX(Chapters!$C:$C,MATCH($B$4&amp;"|"&amp;$B$5&amp;"|"&amp;(ROW()-9),Chapters!$F:$F,0)),"")</f>
        <v/>
      </c>
      <c r="B23" s="10" t="str">
        <f>IFERROR(INDEX(Chapters!$D:$D,MATCH($B$4&amp;"|"&amp;$B$5&amp;"|"&amp;(ROW()-9),Chapters!$F:$F,0)),"")</f>
        <v/>
      </c>
      <c r="C23" s="11" t="str">
        <f>IFERROR(INDEX(Chapters!$E:$E,MATCH($B$4&amp;"|"&amp;$B$5&amp;"|"&amp;(ROW()-9),Chapters!$F:$F,0)),"")</f>
        <v/>
      </c>
      <c r="D23" s="12" t="str">
        <f>IF(OR($C23="",$C$28=0,$B$6=""),"",ROUND(SUM($C$10:$C23)/$C$28*$B$6,0)-ROUND((SUM($C$10:$C23)-$C23)/$C$28*$B$6,0))</f>
        <v/>
      </c>
    </row>
    <row r="24" spans="1:4" ht="15" customHeight="1" x14ac:dyDescent="0.2">
      <c r="A24" s="9" t="str">
        <f>IFERROR(INDEX(Chapters!$C:$C,MATCH($B$4&amp;"|"&amp;$B$5&amp;"|"&amp;(ROW()-9),Chapters!$F:$F,0)),"")</f>
        <v/>
      </c>
      <c r="B24" s="10" t="str">
        <f>IFERROR(INDEX(Chapters!$D:$D,MATCH($B$4&amp;"|"&amp;$B$5&amp;"|"&amp;(ROW()-9),Chapters!$F:$F,0)),"")</f>
        <v/>
      </c>
      <c r="C24" s="11" t="str">
        <f>IFERROR(INDEX(Chapters!$E:$E,MATCH($B$4&amp;"|"&amp;$B$5&amp;"|"&amp;(ROW()-9),Chapters!$F:$F,0)),"")</f>
        <v/>
      </c>
      <c r="D24" s="12" t="str">
        <f>IF(OR($C24="",$C$28=0,$B$6=""),"",ROUND(SUM($C$10:$C24)/$C$28*$B$6,0)-ROUND((SUM($C$10:$C24)-$C24)/$C$28*$B$6,0))</f>
        <v/>
      </c>
    </row>
    <row r="25" spans="1:4" ht="15" customHeight="1" x14ac:dyDescent="0.2">
      <c r="A25" s="9" t="str">
        <f>IFERROR(INDEX(Chapters!$C:$C,MATCH($B$4&amp;"|"&amp;$B$5&amp;"|"&amp;(ROW()-9),Chapters!$F:$F,0)),"")</f>
        <v/>
      </c>
      <c r="B25" s="10" t="str">
        <f>IFERROR(INDEX(Chapters!$D:$D,MATCH($B$4&amp;"|"&amp;$B$5&amp;"|"&amp;(ROW()-9),Chapters!$F:$F,0)),"")</f>
        <v/>
      </c>
      <c r="C25" s="11" t="str">
        <f>IFERROR(INDEX(Chapters!$E:$E,MATCH($B$4&amp;"|"&amp;$B$5&amp;"|"&amp;(ROW()-9),Chapters!$F:$F,0)),"")</f>
        <v/>
      </c>
      <c r="D25" s="12" t="str">
        <f>IF(OR($C25="",$C$28=0,$B$6=""),"",ROUND(SUM($C$10:$C25)/$C$28*$B$6,0)-ROUND((SUM($C$10:$C25)-$C25)/$C$28*$B$6,0))</f>
        <v/>
      </c>
    </row>
    <row r="26" spans="1:4" ht="15" customHeight="1" x14ac:dyDescent="0.2">
      <c r="A26" s="9" t="str">
        <f>IFERROR(INDEX(Chapters!$C:$C,MATCH($B$4&amp;"|"&amp;$B$5&amp;"|"&amp;(ROW()-9),Chapters!$F:$F,0)),"")</f>
        <v/>
      </c>
      <c r="B26" s="10" t="str">
        <f>IFERROR(INDEX(Chapters!$D:$D,MATCH($B$4&amp;"|"&amp;$B$5&amp;"|"&amp;(ROW()-9),Chapters!$F:$F,0)),"")</f>
        <v/>
      </c>
      <c r="C26" s="11" t="str">
        <f>IFERROR(INDEX(Chapters!$E:$E,MATCH($B$4&amp;"|"&amp;$B$5&amp;"|"&amp;(ROW()-9),Chapters!$F:$F,0)),"")</f>
        <v/>
      </c>
      <c r="D26" s="12" t="str">
        <f>IF(OR($C26="",$C$28=0,$B$6=""),"",ROUND(SUM($C$10:$C26)/$C$28*$B$6,0)-ROUND((SUM($C$10:$C26)-$C26)/$C$28*$B$6,0))</f>
        <v/>
      </c>
    </row>
    <row r="27" spans="1:4" ht="15" customHeight="1" x14ac:dyDescent="0.2">
      <c r="A27" s="9" t="str">
        <f>IFERROR(INDEX(Chapters!$C:$C,MATCH($B$4&amp;"|"&amp;$B$5&amp;"|"&amp;(ROW()-9),Chapters!$F:$F,0)),"")</f>
        <v/>
      </c>
      <c r="B27" s="10" t="str">
        <f>IFERROR(INDEX(Chapters!$D:$D,MATCH($B$4&amp;"|"&amp;$B$5&amp;"|"&amp;(ROW()-9),Chapters!$F:$F,0)),"")</f>
        <v/>
      </c>
      <c r="C27" s="11" t="str">
        <f>IFERROR(INDEX(Chapters!$E:$E,MATCH($B$4&amp;"|"&amp;$B$5&amp;"|"&amp;(ROW()-9),Chapters!$F:$F,0)),"")</f>
        <v/>
      </c>
      <c r="D27" s="12" t="str">
        <f>IF(OR($C27="",$C$28=0,$B$6=""),"",ROUND(SUM($C$10:$C27)/$C$28*$B$6,0)-ROUND((SUM($C$10:$C27)-$C27)/$C$28*$B$6,0))</f>
        <v/>
      </c>
    </row>
    <row r="28" spans="1:4" ht="15" customHeight="1" x14ac:dyDescent="0.2">
      <c r="B28" s="13" t="s">
        <v>16</v>
      </c>
      <c r="C28" s="14">
        <f>SUM(C10:C27)</f>
        <v>81.5</v>
      </c>
      <c r="D28" s="15">
        <f>SUM(D10:D27)</f>
        <v>140</v>
      </c>
    </row>
  </sheetData>
  <mergeCells count="3">
    <mergeCell ref="A1:D1"/>
    <mergeCell ref="A7:D7"/>
    <mergeCell ref="A2:D2"/>
  </mergeCells>
  <dataValidations count="3">
    <dataValidation type="list" allowBlank="1" sqref="B4" xr:uid="{00000000-0002-0000-0000-000000000000}">
      <formula1>"English,Mathematics,Science,Social Sciences,The World Around Us"</formula1>
      <formula2>0</formula2>
    </dataValidation>
    <dataValidation type="list" allowBlank="1" sqref="B5" xr:uid="{00000000-0002-0000-0000-000001000000}">
      <formula1>"III,IV,V,VI,VII,VIII,IX"</formula1>
      <formula2>0</formula2>
    </dataValidation>
    <dataValidation type="whole" operator="greaterThan" allowBlank="1" errorTitle="Annual budget" error="Enter a positive number of periods." sqref="B6" xr:uid="{00000000-0002-0000-0000-000002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8" customWidth="1"/>
    <col min="3" max="3" width="7" customWidth="1"/>
    <col min="4" max="4" width="46" customWidth="1"/>
    <col min="5" max="5" width="10" customWidth="1"/>
    <col min="6" max="6" width="26" customWidth="1"/>
    <col min="7" max="7" width="9" customWidth="1"/>
  </cols>
  <sheetData>
    <row r="1" spans="1:7" ht="15" customHeight="1" x14ac:dyDescent="0.2">
      <c r="A1" s="1" t="s">
        <v>2</v>
      </c>
      <c r="B1" s="1" t="s">
        <v>5</v>
      </c>
      <c r="C1" s="1" t="s">
        <v>12</v>
      </c>
      <c r="D1" s="1" t="s">
        <v>13</v>
      </c>
      <c r="E1" s="1" t="s">
        <v>14</v>
      </c>
      <c r="F1" s="1" t="s">
        <v>17</v>
      </c>
      <c r="G1" s="1" t="s">
        <v>18</v>
      </c>
    </row>
    <row r="2" spans="1:7" ht="15" customHeight="1" x14ac:dyDescent="0.2">
      <c r="A2" t="s">
        <v>3</v>
      </c>
      <c r="B2" t="s">
        <v>6</v>
      </c>
      <c r="C2">
        <v>1</v>
      </c>
      <c r="D2" t="s">
        <v>19</v>
      </c>
      <c r="E2">
        <v>5.5</v>
      </c>
      <c r="F2" t="s">
        <v>20</v>
      </c>
      <c r="G2">
        <v>1</v>
      </c>
    </row>
    <row r="3" spans="1:7" ht="15" customHeight="1" x14ac:dyDescent="0.2">
      <c r="A3" t="s">
        <v>3</v>
      </c>
      <c r="B3" t="s">
        <v>6</v>
      </c>
      <c r="C3">
        <v>2</v>
      </c>
      <c r="D3" t="s">
        <v>21</v>
      </c>
      <c r="E3">
        <v>6.5</v>
      </c>
      <c r="F3" t="s">
        <v>22</v>
      </c>
      <c r="G3">
        <v>2</v>
      </c>
    </row>
    <row r="4" spans="1:7" ht="15" customHeight="1" x14ac:dyDescent="0.2">
      <c r="A4" t="s">
        <v>3</v>
      </c>
      <c r="B4" t="s">
        <v>6</v>
      </c>
      <c r="C4">
        <v>3</v>
      </c>
      <c r="D4" t="s">
        <v>23</v>
      </c>
      <c r="E4">
        <v>11.5</v>
      </c>
      <c r="F4" t="s">
        <v>24</v>
      </c>
      <c r="G4">
        <v>3</v>
      </c>
    </row>
    <row r="5" spans="1:7" ht="15" customHeight="1" x14ac:dyDescent="0.2">
      <c r="A5" t="s">
        <v>3</v>
      </c>
      <c r="B5" t="s">
        <v>6</v>
      </c>
      <c r="C5">
        <v>4</v>
      </c>
      <c r="D5" t="s">
        <v>25</v>
      </c>
      <c r="E5">
        <v>10</v>
      </c>
      <c r="F5" t="s">
        <v>26</v>
      </c>
      <c r="G5">
        <v>4</v>
      </c>
    </row>
    <row r="6" spans="1:7" ht="15" customHeight="1" x14ac:dyDescent="0.2">
      <c r="A6" t="s">
        <v>3</v>
      </c>
      <c r="B6" t="s">
        <v>6</v>
      </c>
      <c r="C6">
        <v>5</v>
      </c>
      <c r="D6" t="s">
        <v>27</v>
      </c>
      <c r="E6">
        <v>3.5</v>
      </c>
      <c r="F6" t="s">
        <v>28</v>
      </c>
      <c r="G6">
        <v>5</v>
      </c>
    </row>
    <row r="7" spans="1:7" ht="15" customHeight="1" x14ac:dyDescent="0.2">
      <c r="A7" t="s">
        <v>3</v>
      </c>
      <c r="B7" t="s">
        <v>6</v>
      </c>
      <c r="C7">
        <v>6</v>
      </c>
      <c r="D7" t="s">
        <v>29</v>
      </c>
      <c r="E7">
        <v>5.5</v>
      </c>
      <c r="F7" t="s">
        <v>30</v>
      </c>
      <c r="G7">
        <v>6</v>
      </c>
    </row>
    <row r="8" spans="1:7" ht="15" customHeight="1" x14ac:dyDescent="0.2">
      <c r="A8" t="s">
        <v>3</v>
      </c>
      <c r="B8" t="s">
        <v>6</v>
      </c>
      <c r="C8">
        <v>7</v>
      </c>
      <c r="D8" t="s">
        <v>31</v>
      </c>
      <c r="E8">
        <v>6.5</v>
      </c>
      <c r="F8" t="s">
        <v>32</v>
      </c>
      <c r="G8">
        <v>7</v>
      </c>
    </row>
    <row r="9" spans="1:7" ht="15" customHeight="1" x14ac:dyDescent="0.2">
      <c r="A9" t="s">
        <v>3</v>
      </c>
      <c r="B9" t="s">
        <v>6</v>
      </c>
      <c r="C9">
        <v>8</v>
      </c>
      <c r="D9" t="s">
        <v>33</v>
      </c>
      <c r="E9">
        <v>10</v>
      </c>
      <c r="F9" t="s">
        <v>34</v>
      </c>
      <c r="G9">
        <v>8</v>
      </c>
    </row>
    <row r="10" spans="1:7" ht="15" customHeight="1" x14ac:dyDescent="0.2">
      <c r="A10" t="s">
        <v>3</v>
      </c>
      <c r="B10" t="s">
        <v>6</v>
      </c>
      <c r="C10">
        <v>9</v>
      </c>
      <c r="D10" t="s">
        <v>35</v>
      </c>
      <c r="E10">
        <v>8.5</v>
      </c>
      <c r="F10" t="s">
        <v>36</v>
      </c>
      <c r="G10">
        <v>9</v>
      </c>
    </row>
    <row r="11" spans="1:7" ht="15" customHeight="1" x14ac:dyDescent="0.2">
      <c r="A11" t="s">
        <v>3</v>
      </c>
      <c r="B11" t="s">
        <v>6</v>
      </c>
      <c r="C11">
        <v>10</v>
      </c>
      <c r="D11" t="s">
        <v>37</v>
      </c>
      <c r="E11">
        <v>3.5</v>
      </c>
      <c r="F11" t="s">
        <v>38</v>
      </c>
      <c r="G11">
        <v>10</v>
      </c>
    </row>
    <row r="12" spans="1:7" ht="15" customHeight="1" x14ac:dyDescent="0.2">
      <c r="A12" t="s">
        <v>3</v>
      </c>
      <c r="B12" t="s">
        <v>6</v>
      </c>
      <c r="C12">
        <v>11</v>
      </c>
      <c r="D12" t="s">
        <v>39</v>
      </c>
      <c r="E12">
        <v>11.5</v>
      </c>
      <c r="F12" t="s">
        <v>40</v>
      </c>
      <c r="G12">
        <v>11</v>
      </c>
    </row>
    <row r="13" spans="1:7" ht="15" customHeight="1" x14ac:dyDescent="0.2">
      <c r="A13" t="s">
        <v>3</v>
      </c>
      <c r="B13" t="s">
        <v>6</v>
      </c>
      <c r="C13">
        <v>12</v>
      </c>
      <c r="D13" t="s">
        <v>41</v>
      </c>
      <c r="E13">
        <v>8.5</v>
      </c>
      <c r="F13" t="s">
        <v>42</v>
      </c>
      <c r="G13">
        <v>12</v>
      </c>
    </row>
    <row r="14" spans="1:7" ht="15" customHeight="1" x14ac:dyDescent="0.2">
      <c r="A14" t="s">
        <v>3</v>
      </c>
      <c r="B14" t="s">
        <v>6</v>
      </c>
      <c r="C14">
        <v>13</v>
      </c>
      <c r="D14" t="s">
        <v>43</v>
      </c>
      <c r="E14">
        <v>10</v>
      </c>
      <c r="F14" t="s">
        <v>44</v>
      </c>
      <c r="G14">
        <v>13</v>
      </c>
    </row>
    <row r="15" spans="1:7" ht="15" customHeight="1" x14ac:dyDescent="0.2">
      <c r="A15" t="s">
        <v>3</v>
      </c>
      <c r="B15" t="s">
        <v>6</v>
      </c>
      <c r="C15">
        <v>14</v>
      </c>
      <c r="D15" t="s">
        <v>45</v>
      </c>
      <c r="E15">
        <v>3.5</v>
      </c>
      <c r="F15" t="s">
        <v>46</v>
      </c>
      <c r="G15">
        <v>14</v>
      </c>
    </row>
    <row r="16" spans="1:7" ht="15" customHeight="1" x14ac:dyDescent="0.2">
      <c r="A16" t="s">
        <v>3</v>
      </c>
      <c r="B16" t="s">
        <v>6</v>
      </c>
      <c r="C16">
        <v>15</v>
      </c>
      <c r="D16" t="s">
        <v>47</v>
      </c>
      <c r="E16">
        <v>6.5</v>
      </c>
      <c r="F16" t="s">
        <v>48</v>
      </c>
      <c r="G16">
        <v>15</v>
      </c>
    </row>
    <row r="17" spans="1:7" ht="15" customHeight="1" x14ac:dyDescent="0.2">
      <c r="A17" t="s">
        <v>3</v>
      </c>
      <c r="B17" t="s">
        <v>6</v>
      </c>
      <c r="C17">
        <v>16</v>
      </c>
      <c r="D17" t="s">
        <v>49</v>
      </c>
      <c r="E17">
        <v>8.5</v>
      </c>
      <c r="F17" t="s">
        <v>50</v>
      </c>
      <c r="G17">
        <v>16</v>
      </c>
    </row>
    <row r="18" spans="1:7" ht="15" customHeight="1" x14ac:dyDescent="0.2">
      <c r="A18" t="s">
        <v>3</v>
      </c>
      <c r="B18" t="s">
        <v>6</v>
      </c>
      <c r="C18">
        <v>17</v>
      </c>
      <c r="D18" t="s">
        <v>51</v>
      </c>
      <c r="E18">
        <v>10</v>
      </c>
      <c r="F18" t="s">
        <v>52</v>
      </c>
      <c r="G18">
        <v>17</v>
      </c>
    </row>
    <row r="19" spans="1:7" ht="15" customHeight="1" x14ac:dyDescent="0.2">
      <c r="A19" t="s">
        <v>3</v>
      </c>
      <c r="B19" t="s">
        <v>53</v>
      </c>
      <c r="C19">
        <v>1</v>
      </c>
      <c r="D19" t="s">
        <v>54</v>
      </c>
      <c r="E19">
        <v>10</v>
      </c>
      <c r="F19" t="s">
        <v>55</v>
      </c>
      <c r="G19">
        <v>1</v>
      </c>
    </row>
    <row r="20" spans="1:7" ht="15" customHeight="1" x14ac:dyDescent="0.2">
      <c r="A20" t="s">
        <v>3</v>
      </c>
      <c r="B20" t="s">
        <v>53</v>
      </c>
      <c r="C20">
        <v>2</v>
      </c>
      <c r="D20" t="s">
        <v>56</v>
      </c>
      <c r="E20">
        <v>11.5</v>
      </c>
      <c r="F20" t="s">
        <v>57</v>
      </c>
      <c r="G20">
        <v>2</v>
      </c>
    </row>
    <row r="21" spans="1:7" ht="15" customHeight="1" x14ac:dyDescent="0.2">
      <c r="A21" t="s">
        <v>3</v>
      </c>
      <c r="B21" t="s">
        <v>53</v>
      </c>
      <c r="C21">
        <v>3</v>
      </c>
      <c r="D21" t="s">
        <v>58</v>
      </c>
      <c r="E21">
        <v>9.5</v>
      </c>
      <c r="F21" t="s">
        <v>59</v>
      </c>
      <c r="G21">
        <v>3</v>
      </c>
    </row>
    <row r="22" spans="1:7" ht="15" customHeight="1" x14ac:dyDescent="0.2">
      <c r="A22" t="s">
        <v>3</v>
      </c>
      <c r="B22" t="s">
        <v>53</v>
      </c>
      <c r="C22">
        <v>4</v>
      </c>
      <c r="D22" t="s">
        <v>60</v>
      </c>
      <c r="E22">
        <v>8.5</v>
      </c>
      <c r="F22" t="s">
        <v>61</v>
      </c>
      <c r="G22">
        <v>4</v>
      </c>
    </row>
    <row r="23" spans="1:7" ht="15" customHeight="1" x14ac:dyDescent="0.2">
      <c r="A23" t="s">
        <v>3</v>
      </c>
      <c r="B23" t="s">
        <v>53</v>
      </c>
      <c r="C23">
        <v>5</v>
      </c>
      <c r="D23" t="s">
        <v>62</v>
      </c>
      <c r="E23">
        <v>8.5</v>
      </c>
      <c r="F23" t="s">
        <v>63</v>
      </c>
      <c r="G23">
        <v>5</v>
      </c>
    </row>
    <row r="24" spans="1:7" ht="15" customHeight="1" x14ac:dyDescent="0.2">
      <c r="A24" t="s">
        <v>3</v>
      </c>
      <c r="B24" t="s">
        <v>53</v>
      </c>
      <c r="C24">
        <v>6</v>
      </c>
      <c r="D24" t="s">
        <v>64</v>
      </c>
      <c r="E24">
        <v>10</v>
      </c>
      <c r="F24" t="s">
        <v>65</v>
      </c>
      <c r="G24">
        <v>6</v>
      </c>
    </row>
    <row r="25" spans="1:7" ht="15" customHeight="1" x14ac:dyDescent="0.2">
      <c r="A25" t="s">
        <v>3</v>
      </c>
      <c r="B25" t="s">
        <v>53</v>
      </c>
      <c r="C25">
        <v>7</v>
      </c>
      <c r="D25" t="s">
        <v>66</v>
      </c>
      <c r="E25">
        <v>10</v>
      </c>
      <c r="F25" t="s">
        <v>67</v>
      </c>
      <c r="G25">
        <v>7</v>
      </c>
    </row>
    <row r="26" spans="1:7" ht="15" customHeight="1" x14ac:dyDescent="0.2">
      <c r="A26" t="s">
        <v>3</v>
      </c>
      <c r="B26" t="s">
        <v>53</v>
      </c>
      <c r="C26">
        <v>8</v>
      </c>
      <c r="D26" t="s">
        <v>68</v>
      </c>
      <c r="E26">
        <v>13</v>
      </c>
      <c r="F26" t="s">
        <v>69</v>
      </c>
      <c r="G26">
        <v>8</v>
      </c>
    </row>
    <row r="27" spans="1:7" ht="15" customHeight="1" x14ac:dyDescent="0.2">
      <c r="A27" t="s">
        <v>3</v>
      </c>
      <c r="B27" t="s">
        <v>53</v>
      </c>
      <c r="C27">
        <v>9</v>
      </c>
      <c r="D27" t="s">
        <v>70</v>
      </c>
      <c r="E27">
        <v>8.5</v>
      </c>
      <c r="F27" t="s">
        <v>71</v>
      </c>
      <c r="G27">
        <v>9</v>
      </c>
    </row>
    <row r="28" spans="1:7" ht="15" customHeight="1" x14ac:dyDescent="0.2">
      <c r="A28" t="s">
        <v>3</v>
      </c>
      <c r="B28" t="s">
        <v>53</v>
      </c>
      <c r="C28">
        <v>10</v>
      </c>
      <c r="D28" t="s">
        <v>72</v>
      </c>
      <c r="E28">
        <v>10</v>
      </c>
      <c r="F28" t="s">
        <v>73</v>
      </c>
      <c r="G28">
        <v>10</v>
      </c>
    </row>
    <row r="29" spans="1:7" ht="15" customHeight="1" x14ac:dyDescent="0.2">
      <c r="A29" t="s">
        <v>3</v>
      </c>
      <c r="B29" t="s">
        <v>53</v>
      </c>
      <c r="C29">
        <v>11</v>
      </c>
      <c r="D29" t="s">
        <v>74</v>
      </c>
      <c r="E29">
        <v>13</v>
      </c>
      <c r="F29" t="s">
        <v>75</v>
      </c>
      <c r="G29">
        <v>11</v>
      </c>
    </row>
    <row r="30" spans="1:7" ht="15" customHeight="1" x14ac:dyDescent="0.2">
      <c r="A30" t="s">
        <v>3</v>
      </c>
      <c r="B30" t="s">
        <v>53</v>
      </c>
      <c r="C30">
        <v>12</v>
      </c>
      <c r="D30" t="s">
        <v>76</v>
      </c>
      <c r="E30">
        <v>8.5</v>
      </c>
      <c r="F30" t="s">
        <v>77</v>
      </c>
      <c r="G30">
        <v>12</v>
      </c>
    </row>
    <row r="31" spans="1:7" ht="15" customHeight="1" x14ac:dyDescent="0.2">
      <c r="A31" t="s">
        <v>3</v>
      </c>
      <c r="B31" t="s">
        <v>78</v>
      </c>
      <c r="C31">
        <v>1</v>
      </c>
      <c r="D31" t="s">
        <v>79</v>
      </c>
      <c r="E31">
        <v>8.5</v>
      </c>
      <c r="F31" t="s">
        <v>80</v>
      </c>
      <c r="G31">
        <v>1</v>
      </c>
    </row>
    <row r="32" spans="1:7" ht="15" customHeight="1" x14ac:dyDescent="0.2">
      <c r="A32" t="s">
        <v>3</v>
      </c>
      <c r="B32" t="s">
        <v>78</v>
      </c>
      <c r="C32">
        <v>2</v>
      </c>
      <c r="D32" t="s">
        <v>81</v>
      </c>
      <c r="E32">
        <v>11.5</v>
      </c>
      <c r="F32" t="s">
        <v>82</v>
      </c>
      <c r="G32">
        <v>2</v>
      </c>
    </row>
    <row r="33" spans="1:7" ht="15" customHeight="1" x14ac:dyDescent="0.2">
      <c r="A33" t="s">
        <v>3</v>
      </c>
      <c r="B33" t="s">
        <v>78</v>
      </c>
      <c r="C33">
        <v>3</v>
      </c>
      <c r="D33" t="s">
        <v>83</v>
      </c>
      <c r="E33">
        <v>11.5</v>
      </c>
      <c r="F33" t="s">
        <v>84</v>
      </c>
      <c r="G33">
        <v>3</v>
      </c>
    </row>
    <row r="34" spans="1:7" ht="15" customHeight="1" x14ac:dyDescent="0.2">
      <c r="A34" t="s">
        <v>3</v>
      </c>
      <c r="B34" t="s">
        <v>78</v>
      </c>
      <c r="C34">
        <v>4</v>
      </c>
      <c r="D34" t="s">
        <v>85</v>
      </c>
      <c r="E34">
        <v>8.5</v>
      </c>
      <c r="F34" t="s">
        <v>86</v>
      </c>
      <c r="G34">
        <v>4</v>
      </c>
    </row>
    <row r="35" spans="1:7" ht="15" customHeight="1" x14ac:dyDescent="0.2">
      <c r="A35" t="s">
        <v>3</v>
      </c>
      <c r="B35" t="s">
        <v>78</v>
      </c>
      <c r="C35">
        <v>5</v>
      </c>
      <c r="D35" t="s">
        <v>87</v>
      </c>
      <c r="E35">
        <v>8.5</v>
      </c>
      <c r="F35" t="s">
        <v>88</v>
      </c>
      <c r="G35">
        <v>5</v>
      </c>
    </row>
    <row r="36" spans="1:7" ht="15" customHeight="1" x14ac:dyDescent="0.2">
      <c r="A36" t="s">
        <v>3</v>
      </c>
      <c r="B36" t="s">
        <v>78</v>
      </c>
      <c r="C36">
        <v>6</v>
      </c>
      <c r="D36" t="s">
        <v>89</v>
      </c>
      <c r="E36">
        <v>10</v>
      </c>
      <c r="F36" t="s">
        <v>90</v>
      </c>
      <c r="G36">
        <v>6</v>
      </c>
    </row>
    <row r="37" spans="1:7" ht="15" customHeight="1" x14ac:dyDescent="0.2">
      <c r="A37" t="s">
        <v>3</v>
      </c>
      <c r="B37" t="s">
        <v>78</v>
      </c>
      <c r="C37">
        <v>7</v>
      </c>
      <c r="D37" t="s">
        <v>91</v>
      </c>
      <c r="E37">
        <v>13</v>
      </c>
      <c r="F37" t="s">
        <v>92</v>
      </c>
      <c r="G37">
        <v>7</v>
      </c>
    </row>
    <row r="38" spans="1:7" ht="15" customHeight="1" x14ac:dyDescent="0.2">
      <c r="A38" t="s">
        <v>3</v>
      </c>
      <c r="B38" t="s">
        <v>78</v>
      </c>
      <c r="C38">
        <v>8</v>
      </c>
      <c r="D38" t="s">
        <v>93</v>
      </c>
      <c r="E38">
        <v>10</v>
      </c>
      <c r="F38" t="s">
        <v>94</v>
      </c>
      <c r="G38">
        <v>8</v>
      </c>
    </row>
    <row r="39" spans="1:7" ht="15" customHeight="1" x14ac:dyDescent="0.2">
      <c r="A39" t="s">
        <v>3</v>
      </c>
      <c r="B39" t="s">
        <v>78</v>
      </c>
      <c r="C39">
        <v>9</v>
      </c>
      <c r="D39" t="s">
        <v>95</v>
      </c>
      <c r="E39">
        <v>13</v>
      </c>
      <c r="F39" t="s">
        <v>96</v>
      </c>
      <c r="G39">
        <v>9</v>
      </c>
    </row>
    <row r="40" spans="1:7" ht="15" customHeight="1" x14ac:dyDescent="0.2">
      <c r="A40" t="s">
        <v>3</v>
      </c>
      <c r="B40" t="s">
        <v>78</v>
      </c>
      <c r="C40">
        <v>10</v>
      </c>
      <c r="D40" t="s">
        <v>97</v>
      </c>
      <c r="E40">
        <v>8.5</v>
      </c>
      <c r="F40" t="s">
        <v>98</v>
      </c>
      <c r="G40">
        <v>10</v>
      </c>
    </row>
    <row r="41" spans="1:7" ht="15" customHeight="1" x14ac:dyDescent="0.2">
      <c r="A41" t="s">
        <v>3</v>
      </c>
      <c r="B41" t="s">
        <v>99</v>
      </c>
      <c r="C41">
        <v>1</v>
      </c>
      <c r="D41" t="s">
        <v>100</v>
      </c>
      <c r="E41">
        <v>10.5</v>
      </c>
      <c r="F41" t="s">
        <v>101</v>
      </c>
      <c r="G41">
        <v>1</v>
      </c>
    </row>
    <row r="42" spans="1:7" ht="15" customHeight="1" x14ac:dyDescent="0.2">
      <c r="A42" t="s">
        <v>3</v>
      </c>
      <c r="B42" t="s">
        <v>99</v>
      </c>
      <c r="C42">
        <v>2</v>
      </c>
      <c r="D42" t="s">
        <v>102</v>
      </c>
      <c r="E42">
        <v>7.5</v>
      </c>
      <c r="F42" t="s">
        <v>103</v>
      </c>
      <c r="G42">
        <v>2</v>
      </c>
    </row>
    <row r="43" spans="1:7" ht="15" customHeight="1" x14ac:dyDescent="0.2">
      <c r="A43" t="s">
        <v>3</v>
      </c>
      <c r="B43" t="s">
        <v>99</v>
      </c>
      <c r="C43">
        <v>3</v>
      </c>
      <c r="D43" t="s">
        <v>104</v>
      </c>
      <c r="E43">
        <v>13</v>
      </c>
      <c r="F43" t="s">
        <v>105</v>
      </c>
      <c r="G43">
        <v>3</v>
      </c>
    </row>
    <row r="44" spans="1:7" ht="15" customHeight="1" x14ac:dyDescent="0.2">
      <c r="A44" t="s">
        <v>3</v>
      </c>
      <c r="B44" t="s">
        <v>99</v>
      </c>
      <c r="C44">
        <v>4</v>
      </c>
      <c r="D44" t="s">
        <v>106</v>
      </c>
      <c r="E44">
        <v>14</v>
      </c>
      <c r="F44" t="s">
        <v>107</v>
      </c>
      <c r="G44">
        <v>4</v>
      </c>
    </row>
    <row r="45" spans="1:7" ht="15" customHeight="1" x14ac:dyDescent="0.2">
      <c r="A45" t="s">
        <v>3</v>
      </c>
      <c r="B45" t="s">
        <v>99</v>
      </c>
      <c r="C45">
        <v>5</v>
      </c>
      <c r="D45" t="s">
        <v>108</v>
      </c>
      <c r="E45">
        <v>14</v>
      </c>
      <c r="F45" t="s">
        <v>109</v>
      </c>
      <c r="G45">
        <v>5</v>
      </c>
    </row>
    <row r="46" spans="1:7" ht="15" customHeight="1" x14ac:dyDescent="0.2">
      <c r="A46" t="s">
        <v>3</v>
      </c>
      <c r="B46" t="s">
        <v>99</v>
      </c>
      <c r="C46">
        <v>6</v>
      </c>
      <c r="D46" t="s">
        <v>110</v>
      </c>
      <c r="E46">
        <v>15.5</v>
      </c>
      <c r="F46" t="s">
        <v>111</v>
      </c>
      <c r="G46">
        <v>6</v>
      </c>
    </row>
    <row r="47" spans="1:7" ht="15" customHeight="1" x14ac:dyDescent="0.2">
      <c r="A47" t="s">
        <v>3</v>
      </c>
      <c r="B47" t="s">
        <v>99</v>
      </c>
      <c r="C47">
        <v>7</v>
      </c>
      <c r="D47" t="s">
        <v>112</v>
      </c>
      <c r="E47">
        <v>9</v>
      </c>
      <c r="F47" t="s">
        <v>113</v>
      </c>
      <c r="G47">
        <v>7</v>
      </c>
    </row>
    <row r="48" spans="1:7" ht="15" customHeight="1" x14ac:dyDescent="0.2">
      <c r="A48" t="s">
        <v>3</v>
      </c>
      <c r="B48" t="s">
        <v>99</v>
      </c>
      <c r="C48">
        <v>8</v>
      </c>
      <c r="D48" t="s">
        <v>114</v>
      </c>
      <c r="E48">
        <v>16.5</v>
      </c>
      <c r="F48" t="s">
        <v>115</v>
      </c>
      <c r="G48">
        <v>8</v>
      </c>
    </row>
    <row r="49" spans="1:7" ht="15" customHeight="1" x14ac:dyDescent="0.2">
      <c r="A49" t="s">
        <v>3</v>
      </c>
      <c r="B49" t="s">
        <v>99</v>
      </c>
      <c r="C49">
        <v>9</v>
      </c>
      <c r="D49" t="s">
        <v>116</v>
      </c>
      <c r="E49">
        <v>15</v>
      </c>
      <c r="F49" t="s">
        <v>117</v>
      </c>
      <c r="G49">
        <v>9</v>
      </c>
    </row>
    <row r="50" spans="1:7" ht="15" customHeight="1" x14ac:dyDescent="0.2">
      <c r="A50" t="s">
        <v>3</v>
      </c>
      <c r="B50" t="s">
        <v>99</v>
      </c>
      <c r="C50">
        <v>10</v>
      </c>
      <c r="D50" t="s">
        <v>118</v>
      </c>
      <c r="E50">
        <v>11.5</v>
      </c>
      <c r="F50" t="s">
        <v>119</v>
      </c>
      <c r="G50">
        <v>10</v>
      </c>
    </row>
    <row r="51" spans="1:7" ht="15" customHeight="1" x14ac:dyDescent="0.2">
      <c r="A51" t="s">
        <v>3</v>
      </c>
      <c r="B51" t="s">
        <v>99</v>
      </c>
      <c r="C51">
        <v>11</v>
      </c>
      <c r="D51" t="s">
        <v>120</v>
      </c>
      <c r="E51">
        <v>10</v>
      </c>
      <c r="F51" t="s">
        <v>121</v>
      </c>
      <c r="G51">
        <v>11</v>
      </c>
    </row>
    <row r="52" spans="1:7" ht="15" customHeight="1" x14ac:dyDescent="0.2">
      <c r="A52" t="s">
        <v>3</v>
      </c>
      <c r="B52" t="s">
        <v>99</v>
      </c>
      <c r="C52">
        <v>12</v>
      </c>
      <c r="D52" t="s">
        <v>122</v>
      </c>
      <c r="E52">
        <v>7.5</v>
      </c>
      <c r="F52" t="s">
        <v>123</v>
      </c>
      <c r="G52">
        <v>12</v>
      </c>
    </row>
    <row r="53" spans="1:7" ht="15" customHeight="1" x14ac:dyDescent="0.2">
      <c r="A53" t="s">
        <v>3</v>
      </c>
      <c r="B53" t="s">
        <v>99</v>
      </c>
      <c r="C53">
        <v>13</v>
      </c>
      <c r="D53" t="s">
        <v>124</v>
      </c>
      <c r="E53">
        <v>11.5</v>
      </c>
      <c r="F53" t="s">
        <v>125</v>
      </c>
      <c r="G53">
        <v>13</v>
      </c>
    </row>
    <row r="54" spans="1:7" ht="15" customHeight="1" x14ac:dyDescent="0.2">
      <c r="A54" t="s">
        <v>3</v>
      </c>
      <c r="B54" t="s">
        <v>99</v>
      </c>
      <c r="C54">
        <v>14</v>
      </c>
      <c r="D54" t="s">
        <v>126</v>
      </c>
      <c r="E54">
        <v>11.5</v>
      </c>
      <c r="F54" t="s">
        <v>127</v>
      </c>
      <c r="G54">
        <v>14</v>
      </c>
    </row>
    <row r="55" spans="1:7" ht="15" customHeight="1" x14ac:dyDescent="0.2">
      <c r="A55" t="s">
        <v>3</v>
      </c>
      <c r="B55" t="s">
        <v>99</v>
      </c>
      <c r="C55">
        <v>15</v>
      </c>
      <c r="D55" t="s">
        <v>128</v>
      </c>
      <c r="E55">
        <v>11</v>
      </c>
      <c r="F55" t="s">
        <v>129</v>
      </c>
      <c r="G55">
        <v>15</v>
      </c>
    </row>
    <row r="56" spans="1:7" ht="15" customHeight="1" x14ac:dyDescent="0.2">
      <c r="A56" t="s">
        <v>3</v>
      </c>
      <c r="B56" t="s">
        <v>99</v>
      </c>
      <c r="C56">
        <v>16</v>
      </c>
      <c r="D56" t="s">
        <v>130</v>
      </c>
      <c r="E56">
        <v>4.5</v>
      </c>
      <c r="F56" t="s">
        <v>131</v>
      </c>
      <c r="G56">
        <v>16</v>
      </c>
    </row>
    <row r="57" spans="1:7" ht="15" customHeight="1" x14ac:dyDescent="0.2">
      <c r="A57" t="s">
        <v>3</v>
      </c>
      <c r="B57" t="s">
        <v>132</v>
      </c>
      <c r="C57">
        <v>1</v>
      </c>
      <c r="D57" t="s">
        <v>133</v>
      </c>
      <c r="E57">
        <v>16.5</v>
      </c>
      <c r="F57" t="s">
        <v>134</v>
      </c>
      <c r="G57">
        <v>1</v>
      </c>
    </row>
    <row r="58" spans="1:7" ht="15" customHeight="1" x14ac:dyDescent="0.2">
      <c r="A58" t="s">
        <v>3</v>
      </c>
      <c r="B58" t="s">
        <v>132</v>
      </c>
      <c r="C58">
        <v>2</v>
      </c>
      <c r="D58" t="s">
        <v>135</v>
      </c>
      <c r="E58">
        <v>14</v>
      </c>
      <c r="F58" t="s">
        <v>136</v>
      </c>
      <c r="G58">
        <v>2</v>
      </c>
    </row>
    <row r="59" spans="1:7" ht="15" customHeight="1" x14ac:dyDescent="0.2">
      <c r="A59" t="s">
        <v>3</v>
      </c>
      <c r="B59" t="s">
        <v>132</v>
      </c>
      <c r="C59">
        <v>3</v>
      </c>
      <c r="D59" t="s">
        <v>137</v>
      </c>
      <c r="E59">
        <v>12.5</v>
      </c>
      <c r="F59" t="s">
        <v>138</v>
      </c>
      <c r="G59">
        <v>3</v>
      </c>
    </row>
    <row r="60" spans="1:7" ht="15" customHeight="1" x14ac:dyDescent="0.2">
      <c r="A60" t="s">
        <v>3</v>
      </c>
      <c r="B60" t="s">
        <v>132</v>
      </c>
      <c r="C60">
        <v>4</v>
      </c>
      <c r="D60" t="s">
        <v>139</v>
      </c>
      <c r="E60">
        <v>15.5</v>
      </c>
      <c r="F60" t="s">
        <v>140</v>
      </c>
      <c r="G60">
        <v>4</v>
      </c>
    </row>
    <row r="61" spans="1:7" ht="15" customHeight="1" x14ac:dyDescent="0.2">
      <c r="A61" t="s">
        <v>3</v>
      </c>
      <c r="B61" t="s">
        <v>132</v>
      </c>
      <c r="C61">
        <v>5</v>
      </c>
      <c r="D61" t="s">
        <v>141</v>
      </c>
      <c r="E61">
        <v>15.5</v>
      </c>
      <c r="F61" t="s">
        <v>142</v>
      </c>
      <c r="G61">
        <v>5</v>
      </c>
    </row>
    <row r="62" spans="1:7" ht="15" customHeight="1" x14ac:dyDescent="0.2">
      <c r="A62" t="s">
        <v>3</v>
      </c>
      <c r="B62" t="s">
        <v>132</v>
      </c>
      <c r="C62">
        <v>6</v>
      </c>
      <c r="D62" t="s">
        <v>143</v>
      </c>
      <c r="E62">
        <v>14</v>
      </c>
      <c r="F62" t="s">
        <v>144</v>
      </c>
      <c r="G62">
        <v>6</v>
      </c>
    </row>
    <row r="63" spans="1:7" ht="15" customHeight="1" x14ac:dyDescent="0.2">
      <c r="A63" t="s">
        <v>3</v>
      </c>
      <c r="B63" t="s">
        <v>132</v>
      </c>
      <c r="C63">
        <v>7</v>
      </c>
      <c r="D63" t="s">
        <v>145</v>
      </c>
      <c r="E63">
        <v>10.5</v>
      </c>
      <c r="F63" t="s">
        <v>146</v>
      </c>
      <c r="G63">
        <v>7</v>
      </c>
    </row>
    <row r="64" spans="1:7" ht="15" customHeight="1" x14ac:dyDescent="0.2">
      <c r="A64" t="s">
        <v>3</v>
      </c>
      <c r="B64" t="s">
        <v>132</v>
      </c>
      <c r="C64">
        <v>8</v>
      </c>
      <c r="D64" t="s">
        <v>147</v>
      </c>
      <c r="E64">
        <v>16.5</v>
      </c>
      <c r="F64" t="s">
        <v>148</v>
      </c>
      <c r="G64">
        <v>8</v>
      </c>
    </row>
    <row r="65" spans="1:7" ht="15" customHeight="1" x14ac:dyDescent="0.2">
      <c r="A65" t="s">
        <v>3</v>
      </c>
      <c r="B65" t="s">
        <v>132</v>
      </c>
      <c r="C65">
        <v>9</v>
      </c>
      <c r="D65" t="s">
        <v>149</v>
      </c>
      <c r="E65">
        <v>14</v>
      </c>
      <c r="F65" t="s">
        <v>150</v>
      </c>
      <c r="G65">
        <v>9</v>
      </c>
    </row>
    <row r="66" spans="1:7" ht="15" customHeight="1" x14ac:dyDescent="0.2">
      <c r="A66" t="s">
        <v>3</v>
      </c>
      <c r="B66" t="s">
        <v>132</v>
      </c>
      <c r="C66">
        <v>10</v>
      </c>
      <c r="D66" t="s">
        <v>151</v>
      </c>
      <c r="E66">
        <v>9</v>
      </c>
      <c r="F66" t="s">
        <v>152</v>
      </c>
      <c r="G66">
        <v>10</v>
      </c>
    </row>
    <row r="67" spans="1:7" ht="15" customHeight="1" x14ac:dyDescent="0.2">
      <c r="A67" t="s">
        <v>3</v>
      </c>
      <c r="B67" t="s">
        <v>132</v>
      </c>
      <c r="C67">
        <v>11</v>
      </c>
      <c r="D67" t="s">
        <v>153</v>
      </c>
      <c r="E67">
        <v>10</v>
      </c>
      <c r="F67" t="s">
        <v>154</v>
      </c>
      <c r="G67">
        <v>11</v>
      </c>
    </row>
    <row r="68" spans="1:7" ht="15" customHeight="1" x14ac:dyDescent="0.2">
      <c r="A68" t="s">
        <v>3</v>
      </c>
      <c r="B68" t="s">
        <v>132</v>
      </c>
      <c r="C68">
        <v>12</v>
      </c>
      <c r="D68" t="s">
        <v>155</v>
      </c>
      <c r="E68">
        <v>10</v>
      </c>
      <c r="F68" t="s">
        <v>156</v>
      </c>
      <c r="G68">
        <v>12</v>
      </c>
    </row>
    <row r="69" spans="1:7" ht="15" customHeight="1" x14ac:dyDescent="0.2">
      <c r="A69" t="s">
        <v>3</v>
      </c>
      <c r="B69" t="s">
        <v>132</v>
      </c>
      <c r="C69">
        <v>13</v>
      </c>
      <c r="D69" t="s">
        <v>157</v>
      </c>
      <c r="E69">
        <v>12.5</v>
      </c>
      <c r="F69" t="s">
        <v>158</v>
      </c>
      <c r="G69">
        <v>13</v>
      </c>
    </row>
    <row r="70" spans="1:7" ht="15" customHeight="1" x14ac:dyDescent="0.2">
      <c r="A70" t="s">
        <v>3</v>
      </c>
      <c r="B70" t="s">
        <v>132</v>
      </c>
      <c r="C70">
        <v>14</v>
      </c>
      <c r="D70" t="s">
        <v>159</v>
      </c>
      <c r="E70">
        <v>10</v>
      </c>
      <c r="F70" t="s">
        <v>160</v>
      </c>
      <c r="G70">
        <v>14</v>
      </c>
    </row>
    <row r="71" spans="1:7" ht="15" customHeight="1" x14ac:dyDescent="0.2">
      <c r="A71" t="s">
        <v>3</v>
      </c>
      <c r="B71" t="s">
        <v>132</v>
      </c>
      <c r="C71">
        <v>15</v>
      </c>
      <c r="D71" t="s">
        <v>161</v>
      </c>
      <c r="E71">
        <v>7.5</v>
      </c>
      <c r="F71" t="s">
        <v>162</v>
      </c>
      <c r="G71">
        <v>15</v>
      </c>
    </row>
    <row r="72" spans="1:7" ht="15" customHeight="1" x14ac:dyDescent="0.2">
      <c r="A72" t="s">
        <v>3</v>
      </c>
      <c r="B72" t="s">
        <v>163</v>
      </c>
      <c r="C72">
        <v>1</v>
      </c>
      <c r="D72" t="s">
        <v>164</v>
      </c>
      <c r="E72">
        <v>12.5</v>
      </c>
      <c r="F72" t="s">
        <v>165</v>
      </c>
      <c r="G72">
        <v>1</v>
      </c>
    </row>
    <row r="73" spans="1:7" ht="15" customHeight="1" x14ac:dyDescent="0.2">
      <c r="A73" t="s">
        <v>3</v>
      </c>
      <c r="B73" t="s">
        <v>163</v>
      </c>
      <c r="C73">
        <v>2</v>
      </c>
      <c r="D73" t="s">
        <v>166</v>
      </c>
      <c r="E73">
        <v>14</v>
      </c>
      <c r="F73" t="s">
        <v>167</v>
      </c>
      <c r="G73">
        <v>2</v>
      </c>
    </row>
    <row r="74" spans="1:7" ht="15" customHeight="1" x14ac:dyDescent="0.2">
      <c r="A74" t="s">
        <v>3</v>
      </c>
      <c r="B74" t="s">
        <v>163</v>
      </c>
      <c r="C74">
        <v>3</v>
      </c>
      <c r="D74" t="s">
        <v>168</v>
      </c>
      <c r="E74">
        <v>11.5</v>
      </c>
      <c r="F74" t="s">
        <v>169</v>
      </c>
      <c r="G74">
        <v>3</v>
      </c>
    </row>
    <row r="75" spans="1:7" ht="15" customHeight="1" x14ac:dyDescent="0.2">
      <c r="A75" t="s">
        <v>3</v>
      </c>
      <c r="B75" t="s">
        <v>163</v>
      </c>
      <c r="C75">
        <v>4</v>
      </c>
      <c r="D75" t="s">
        <v>170</v>
      </c>
      <c r="E75">
        <v>12.5</v>
      </c>
      <c r="F75" t="s">
        <v>171</v>
      </c>
      <c r="G75">
        <v>4</v>
      </c>
    </row>
    <row r="76" spans="1:7" ht="15" customHeight="1" x14ac:dyDescent="0.2">
      <c r="A76" t="s">
        <v>3</v>
      </c>
      <c r="B76" t="s">
        <v>163</v>
      </c>
      <c r="C76">
        <v>5</v>
      </c>
      <c r="D76" t="s">
        <v>172</v>
      </c>
      <c r="E76">
        <v>13</v>
      </c>
      <c r="F76" t="s">
        <v>173</v>
      </c>
      <c r="G76">
        <v>5</v>
      </c>
    </row>
    <row r="77" spans="1:7" ht="15" customHeight="1" x14ac:dyDescent="0.2">
      <c r="A77" t="s">
        <v>3</v>
      </c>
      <c r="B77" t="s">
        <v>163</v>
      </c>
      <c r="C77">
        <v>6</v>
      </c>
      <c r="D77" t="s">
        <v>174</v>
      </c>
      <c r="E77">
        <v>14</v>
      </c>
      <c r="F77" t="s">
        <v>175</v>
      </c>
      <c r="G77">
        <v>6</v>
      </c>
    </row>
    <row r="78" spans="1:7" ht="15" customHeight="1" x14ac:dyDescent="0.2">
      <c r="A78" t="s">
        <v>3</v>
      </c>
      <c r="B78" t="s">
        <v>163</v>
      </c>
      <c r="C78">
        <v>7</v>
      </c>
      <c r="D78" t="s">
        <v>176</v>
      </c>
      <c r="E78">
        <v>15.5</v>
      </c>
      <c r="F78" t="s">
        <v>177</v>
      </c>
      <c r="G78">
        <v>7</v>
      </c>
    </row>
    <row r="79" spans="1:7" ht="15" customHeight="1" x14ac:dyDescent="0.2">
      <c r="A79" t="s">
        <v>3</v>
      </c>
      <c r="B79" t="s">
        <v>163</v>
      </c>
      <c r="C79">
        <v>8</v>
      </c>
      <c r="D79" t="s">
        <v>178</v>
      </c>
      <c r="E79">
        <v>14</v>
      </c>
      <c r="F79" t="s">
        <v>179</v>
      </c>
      <c r="G79">
        <v>8</v>
      </c>
    </row>
    <row r="80" spans="1:7" ht="15" customHeight="1" x14ac:dyDescent="0.2">
      <c r="A80" t="s">
        <v>3</v>
      </c>
      <c r="B80" t="s">
        <v>163</v>
      </c>
      <c r="C80">
        <v>9</v>
      </c>
      <c r="D80" t="s">
        <v>180</v>
      </c>
      <c r="E80">
        <v>11.5</v>
      </c>
      <c r="F80" t="s">
        <v>181</v>
      </c>
      <c r="G80">
        <v>9</v>
      </c>
    </row>
    <row r="81" spans="1:7" ht="15" customHeight="1" x14ac:dyDescent="0.2">
      <c r="A81" t="s">
        <v>3</v>
      </c>
      <c r="B81" t="s">
        <v>163</v>
      </c>
      <c r="C81">
        <v>10</v>
      </c>
      <c r="D81" t="s">
        <v>182</v>
      </c>
      <c r="E81">
        <v>14.5</v>
      </c>
      <c r="F81" t="s">
        <v>183</v>
      </c>
      <c r="G81">
        <v>10</v>
      </c>
    </row>
    <row r="82" spans="1:7" ht="15" customHeight="1" x14ac:dyDescent="0.2">
      <c r="A82" t="s">
        <v>3</v>
      </c>
      <c r="B82" t="s">
        <v>163</v>
      </c>
      <c r="C82">
        <v>11</v>
      </c>
      <c r="D82" t="s">
        <v>184</v>
      </c>
      <c r="E82">
        <v>15.5</v>
      </c>
      <c r="F82" t="s">
        <v>185</v>
      </c>
      <c r="G82">
        <v>11</v>
      </c>
    </row>
    <row r="83" spans="1:7" ht="15" customHeight="1" x14ac:dyDescent="0.2">
      <c r="A83" t="s">
        <v>3</v>
      </c>
      <c r="B83" t="s">
        <v>163</v>
      </c>
      <c r="C83">
        <v>12</v>
      </c>
      <c r="D83" t="s">
        <v>186</v>
      </c>
      <c r="E83">
        <v>14</v>
      </c>
      <c r="F83" t="s">
        <v>187</v>
      </c>
      <c r="G83">
        <v>12</v>
      </c>
    </row>
    <row r="84" spans="1:7" ht="15" customHeight="1" x14ac:dyDescent="0.2">
      <c r="A84" t="s">
        <v>3</v>
      </c>
      <c r="B84" t="s">
        <v>163</v>
      </c>
      <c r="C84">
        <v>13</v>
      </c>
      <c r="D84" t="s">
        <v>188</v>
      </c>
      <c r="E84">
        <v>16.5</v>
      </c>
      <c r="F84" t="s">
        <v>189</v>
      </c>
      <c r="G84">
        <v>13</v>
      </c>
    </row>
    <row r="85" spans="1:7" ht="15" customHeight="1" x14ac:dyDescent="0.2">
      <c r="A85" t="s">
        <v>3</v>
      </c>
      <c r="B85" t="s">
        <v>163</v>
      </c>
      <c r="C85">
        <v>14</v>
      </c>
      <c r="D85" t="s">
        <v>190</v>
      </c>
      <c r="E85">
        <v>15.5</v>
      </c>
      <c r="F85" t="s">
        <v>191</v>
      </c>
      <c r="G85">
        <v>14</v>
      </c>
    </row>
    <row r="86" spans="1:7" ht="15" customHeight="1" x14ac:dyDescent="0.2">
      <c r="A86" t="s">
        <v>3</v>
      </c>
      <c r="B86" t="s">
        <v>163</v>
      </c>
      <c r="C86">
        <v>15</v>
      </c>
      <c r="D86" t="s">
        <v>192</v>
      </c>
      <c r="E86">
        <v>14</v>
      </c>
      <c r="F86" t="s">
        <v>193</v>
      </c>
      <c r="G86">
        <v>15</v>
      </c>
    </row>
    <row r="87" spans="1:7" ht="15" customHeight="1" x14ac:dyDescent="0.2">
      <c r="A87" t="s">
        <v>3</v>
      </c>
      <c r="B87" t="s">
        <v>194</v>
      </c>
      <c r="C87">
        <v>1</v>
      </c>
      <c r="D87" t="s">
        <v>195</v>
      </c>
      <c r="E87">
        <v>7.2</v>
      </c>
      <c r="F87" t="s">
        <v>196</v>
      </c>
      <c r="G87">
        <v>1</v>
      </c>
    </row>
    <row r="88" spans="1:7" ht="15" customHeight="1" x14ac:dyDescent="0.2">
      <c r="A88" t="s">
        <v>3</v>
      </c>
      <c r="B88" t="s">
        <v>194</v>
      </c>
      <c r="C88">
        <v>2</v>
      </c>
      <c r="D88" t="s">
        <v>197</v>
      </c>
      <c r="E88">
        <v>3.3</v>
      </c>
      <c r="F88" t="s">
        <v>198</v>
      </c>
      <c r="G88">
        <v>2</v>
      </c>
    </row>
    <row r="89" spans="1:7" ht="15" customHeight="1" x14ac:dyDescent="0.2">
      <c r="A89" t="s">
        <v>3</v>
      </c>
      <c r="B89" t="s">
        <v>194</v>
      </c>
      <c r="C89">
        <v>3</v>
      </c>
      <c r="D89" t="s">
        <v>199</v>
      </c>
      <c r="E89">
        <v>8</v>
      </c>
      <c r="F89" t="s">
        <v>200</v>
      </c>
      <c r="G89">
        <v>3</v>
      </c>
    </row>
    <row r="90" spans="1:7" ht="15" customHeight="1" x14ac:dyDescent="0.2">
      <c r="A90" t="s">
        <v>3</v>
      </c>
      <c r="B90" t="s">
        <v>194</v>
      </c>
      <c r="C90">
        <v>4</v>
      </c>
      <c r="D90" t="s">
        <v>201</v>
      </c>
      <c r="E90">
        <v>4</v>
      </c>
      <c r="F90" t="s">
        <v>202</v>
      </c>
      <c r="G90">
        <v>4</v>
      </c>
    </row>
    <row r="91" spans="1:7" ht="15" customHeight="1" x14ac:dyDescent="0.2">
      <c r="A91" t="s">
        <v>3</v>
      </c>
      <c r="B91" t="s">
        <v>194</v>
      </c>
      <c r="C91">
        <v>5</v>
      </c>
      <c r="D91" t="s">
        <v>203</v>
      </c>
      <c r="E91">
        <v>5.5</v>
      </c>
      <c r="F91" t="s">
        <v>204</v>
      </c>
      <c r="G91">
        <v>5</v>
      </c>
    </row>
    <row r="92" spans="1:7" ht="15" customHeight="1" x14ac:dyDescent="0.2">
      <c r="A92" t="s">
        <v>3</v>
      </c>
      <c r="B92" t="s">
        <v>194</v>
      </c>
      <c r="C92">
        <v>6</v>
      </c>
      <c r="D92" t="s">
        <v>205</v>
      </c>
      <c r="E92">
        <v>3.5</v>
      </c>
      <c r="F92" t="s">
        <v>206</v>
      </c>
      <c r="G92">
        <v>6</v>
      </c>
    </row>
    <row r="93" spans="1:7" ht="15" customHeight="1" x14ac:dyDescent="0.2">
      <c r="A93" t="s">
        <v>3</v>
      </c>
      <c r="B93" t="s">
        <v>194</v>
      </c>
      <c r="C93">
        <v>7</v>
      </c>
      <c r="D93" t="s">
        <v>207</v>
      </c>
      <c r="E93">
        <v>9.6</v>
      </c>
      <c r="F93" t="s">
        <v>208</v>
      </c>
      <c r="G93">
        <v>7</v>
      </c>
    </row>
    <row r="94" spans="1:7" ht="15" customHeight="1" x14ac:dyDescent="0.2">
      <c r="A94" t="s">
        <v>3</v>
      </c>
      <c r="B94" t="s">
        <v>194</v>
      </c>
      <c r="C94">
        <v>8</v>
      </c>
      <c r="D94" t="s">
        <v>209</v>
      </c>
      <c r="E94">
        <v>3.7</v>
      </c>
      <c r="F94" t="s">
        <v>210</v>
      </c>
      <c r="G94">
        <v>8</v>
      </c>
    </row>
    <row r="95" spans="1:7" ht="15" customHeight="1" x14ac:dyDescent="0.2">
      <c r="A95" t="s">
        <v>3</v>
      </c>
      <c r="B95" t="s">
        <v>194</v>
      </c>
      <c r="C95">
        <v>9</v>
      </c>
      <c r="D95" t="s">
        <v>211</v>
      </c>
      <c r="E95">
        <v>6.2</v>
      </c>
      <c r="F95" t="s">
        <v>212</v>
      </c>
      <c r="G95">
        <v>9</v>
      </c>
    </row>
    <row r="96" spans="1:7" ht="15" customHeight="1" x14ac:dyDescent="0.2">
      <c r="A96" t="s">
        <v>3</v>
      </c>
      <c r="B96" t="s">
        <v>194</v>
      </c>
      <c r="C96">
        <v>10</v>
      </c>
      <c r="D96" t="s">
        <v>213</v>
      </c>
      <c r="E96">
        <v>4.3</v>
      </c>
      <c r="F96" t="s">
        <v>214</v>
      </c>
      <c r="G96">
        <v>10</v>
      </c>
    </row>
    <row r="97" spans="1:7" ht="15" customHeight="1" x14ac:dyDescent="0.2">
      <c r="A97" t="s">
        <v>3</v>
      </c>
      <c r="B97" t="s">
        <v>194</v>
      </c>
      <c r="C97">
        <v>11</v>
      </c>
      <c r="D97" t="s">
        <v>215</v>
      </c>
      <c r="E97">
        <v>7.7</v>
      </c>
      <c r="F97" t="s">
        <v>216</v>
      </c>
      <c r="G97">
        <v>11</v>
      </c>
    </row>
    <row r="98" spans="1:7" ht="15" customHeight="1" x14ac:dyDescent="0.2">
      <c r="A98" t="s">
        <v>3</v>
      </c>
      <c r="B98" t="s">
        <v>194</v>
      </c>
      <c r="C98">
        <v>12</v>
      </c>
      <c r="D98" t="s">
        <v>217</v>
      </c>
      <c r="E98">
        <v>2.8</v>
      </c>
      <c r="F98" t="s">
        <v>218</v>
      </c>
      <c r="G98">
        <v>12</v>
      </c>
    </row>
    <row r="99" spans="1:7" ht="15" customHeight="1" x14ac:dyDescent="0.2">
      <c r="A99" t="s">
        <v>3</v>
      </c>
      <c r="B99" t="s">
        <v>194</v>
      </c>
      <c r="C99">
        <v>13</v>
      </c>
      <c r="D99" t="s">
        <v>219</v>
      </c>
      <c r="E99">
        <v>8.1</v>
      </c>
      <c r="F99" t="s">
        <v>220</v>
      </c>
      <c r="G99">
        <v>13</v>
      </c>
    </row>
    <row r="100" spans="1:7" ht="15" customHeight="1" x14ac:dyDescent="0.2">
      <c r="A100" t="s">
        <v>3</v>
      </c>
      <c r="B100" t="s">
        <v>194</v>
      </c>
      <c r="C100">
        <v>14</v>
      </c>
      <c r="D100" t="s">
        <v>221</v>
      </c>
      <c r="E100">
        <v>5</v>
      </c>
      <c r="F100" t="s">
        <v>222</v>
      </c>
      <c r="G100">
        <v>14</v>
      </c>
    </row>
    <row r="101" spans="1:7" ht="15" customHeight="1" x14ac:dyDescent="0.2">
      <c r="A101" t="s">
        <v>3</v>
      </c>
      <c r="B101" t="s">
        <v>194</v>
      </c>
      <c r="C101">
        <v>15</v>
      </c>
      <c r="D101" t="s">
        <v>223</v>
      </c>
      <c r="E101">
        <v>5.3</v>
      </c>
      <c r="F101" t="s">
        <v>224</v>
      </c>
      <c r="G101">
        <v>15</v>
      </c>
    </row>
    <row r="102" spans="1:7" ht="15" customHeight="1" x14ac:dyDescent="0.2">
      <c r="A102" t="s">
        <v>3</v>
      </c>
      <c r="B102" t="s">
        <v>194</v>
      </c>
      <c r="C102">
        <v>16</v>
      </c>
      <c r="D102" t="s">
        <v>225</v>
      </c>
      <c r="E102">
        <v>5.2</v>
      </c>
      <c r="F102" t="s">
        <v>226</v>
      </c>
      <c r="G102">
        <v>16</v>
      </c>
    </row>
    <row r="103" spans="1:7" ht="15" customHeight="1" x14ac:dyDescent="0.2">
      <c r="A103" t="s">
        <v>227</v>
      </c>
      <c r="B103" t="s">
        <v>6</v>
      </c>
      <c r="C103">
        <v>1</v>
      </c>
      <c r="D103" t="s">
        <v>228</v>
      </c>
      <c r="E103">
        <v>6</v>
      </c>
      <c r="F103" t="s">
        <v>229</v>
      </c>
      <c r="G103">
        <v>1</v>
      </c>
    </row>
    <row r="104" spans="1:7" ht="15" customHeight="1" x14ac:dyDescent="0.2">
      <c r="A104" t="s">
        <v>227</v>
      </c>
      <c r="B104" t="s">
        <v>6</v>
      </c>
      <c r="C104">
        <v>2</v>
      </c>
      <c r="D104" t="s">
        <v>230</v>
      </c>
      <c r="E104">
        <v>7.5</v>
      </c>
      <c r="F104" t="s">
        <v>231</v>
      </c>
      <c r="G104">
        <v>2</v>
      </c>
    </row>
    <row r="105" spans="1:7" ht="15" customHeight="1" x14ac:dyDescent="0.2">
      <c r="A105" t="s">
        <v>227</v>
      </c>
      <c r="B105" t="s">
        <v>6</v>
      </c>
      <c r="C105">
        <v>3</v>
      </c>
      <c r="D105" t="s">
        <v>232</v>
      </c>
      <c r="E105">
        <v>13</v>
      </c>
      <c r="F105" t="s">
        <v>233</v>
      </c>
      <c r="G105">
        <v>3</v>
      </c>
    </row>
    <row r="106" spans="1:7" ht="15" customHeight="1" x14ac:dyDescent="0.2">
      <c r="A106" t="s">
        <v>227</v>
      </c>
      <c r="B106" t="s">
        <v>6</v>
      </c>
      <c r="C106">
        <v>4</v>
      </c>
      <c r="D106" t="s">
        <v>234</v>
      </c>
      <c r="E106">
        <v>9.5</v>
      </c>
      <c r="F106" t="s">
        <v>235</v>
      </c>
      <c r="G106">
        <v>4</v>
      </c>
    </row>
    <row r="107" spans="1:7" ht="15" customHeight="1" x14ac:dyDescent="0.2">
      <c r="A107" t="s">
        <v>227</v>
      </c>
      <c r="B107" t="s">
        <v>6</v>
      </c>
      <c r="C107">
        <v>5</v>
      </c>
      <c r="D107" t="s">
        <v>236</v>
      </c>
      <c r="E107">
        <v>13</v>
      </c>
      <c r="F107" t="s">
        <v>237</v>
      </c>
      <c r="G107">
        <v>5</v>
      </c>
    </row>
    <row r="108" spans="1:7" ht="15" customHeight="1" x14ac:dyDescent="0.2">
      <c r="A108" t="s">
        <v>227</v>
      </c>
      <c r="B108" t="s">
        <v>6</v>
      </c>
      <c r="C108">
        <v>6</v>
      </c>
      <c r="D108" t="s">
        <v>238</v>
      </c>
      <c r="E108">
        <v>11.5</v>
      </c>
      <c r="F108" t="s">
        <v>239</v>
      </c>
      <c r="G108">
        <v>6</v>
      </c>
    </row>
    <row r="109" spans="1:7" ht="15" customHeight="1" x14ac:dyDescent="0.2">
      <c r="A109" t="s">
        <v>227</v>
      </c>
      <c r="B109" t="s">
        <v>6</v>
      </c>
      <c r="C109">
        <v>7</v>
      </c>
      <c r="D109" t="s">
        <v>240</v>
      </c>
      <c r="E109">
        <v>13</v>
      </c>
      <c r="F109" t="s">
        <v>241</v>
      </c>
      <c r="G109">
        <v>7</v>
      </c>
    </row>
    <row r="110" spans="1:7" ht="15" customHeight="1" x14ac:dyDescent="0.2">
      <c r="A110" t="s">
        <v>227</v>
      </c>
      <c r="B110" t="s">
        <v>6</v>
      </c>
      <c r="C110">
        <v>8</v>
      </c>
      <c r="D110" t="s">
        <v>242</v>
      </c>
      <c r="E110">
        <v>9.5</v>
      </c>
      <c r="F110" t="s">
        <v>243</v>
      </c>
      <c r="G110">
        <v>8</v>
      </c>
    </row>
    <row r="111" spans="1:7" ht="15" customHeight="1" x14ac:dyDescent="0.2">
      <c r="A111" t="s">
        <v>227</v>
      </c>
      <c r="B111" t="s">
        <v>6</v>
      </c>
      <c r="C111">
        <v>9</v>
      </c>
      <c r="D111" t="s">
        <v>244</v>
      </c>
      <c r="E111">
        <v>11.5</v>
      </c>
      <c r="F111" t="s">
        <v>245</v>
      </c>
      <c r="G111">
        <v>9</v>
      </c>
    </row>
    <row r="112" spans="1:7" ht="15" customHeight="1" x14ac:dyDescent="0.2">
      <c r="A112" t="s">
        <v>227</v>
      </c>
      <c r="B112" t="s">
        <v>6</v>
      </c>
      <c r="C112">
        <v>10</v>
      </c>
      <c r="D112" t="s">
        <v>246</v>
      </c>
      <c r="E112">
        <v>13</v>
      </c>
      <c r="F112" t="s">
        <v>247</v>
      </c>
      <c r="G112">
        <v>10</v>
      </c>
    </row>
    <row r="113" spans="1:7" ht="15" customHeight="1" x14ac:dyDescent="0.2">
      <c r="A113" t="s">
        <v>227</v>
      </c>
      <c r="B113" t="s">
        <v>6</v>
      </c>
      <c r="C113">
        <v>11</v>
      </c>
      <c r="D113" t="s">
        <v>248</v>
      </c>
      <c r="E113">
        <v>9.5</v>
      </c>
      <c r="F113" t="s">
        <v>249</v>
      </c>
      <c r="G113">
        <v>11</v>
      </c>
    </row>
    <row r="114" spans="1:7" ht="15" customHeight="1" x14ac:dyDescent="0.2">
      <c r="A114" t="s">
        <v>227</v>
      </c>
      <c r="B114" t="s">
        <v>6</v>
      </c>
      <c r="C114">
        <v>12</v>
      </c>
      <c r="D114" t="s">
        <v>250</v>
      </c>
      <c r="E114">
        <v>7.5</v>
      </c>
      <c r="F114" t="s">
        <v>251</v>
      </c>
      <c r="G114">
        <v>12</v>
      </c>
    </row>
    <row r="115" spans="1:7" ht="15" customHeight="1" x14ac:dyDescent="0.2">
      <c r="A115" t="s">
        <v>227</v>
      </c>
      <c r="B115" t="s">
        <v>6</v>
      </c>
      <c r="C115">
        <v>13</v>
      </c>
      <c r="D115" t="s">
        <v>252</v>
      </c>
      <c r="E115">
        <v>13</v>
      </c>
      <c r="F115" t="s">
        <v>253</v>
      </c>
      <c r="G115">
        <v>13</v>
      </c>
    </row>
    <row r="116" spans="1:7" ht="15" customHeight="1" x14ac:dyDescent="0.2">
      <c r="A116" t="s">
        <v>227</v>
      </c>
      <c r="B116" t="s">
        <v>6</v>
      </c>
      <c r="C116">
        <v>14</v>
      </c>
      <c r="D116" t="s">
        <v>254</v>
      </c>
      <c r="E116">
        <v>9.5</v>
      </c>
      <c r="F116" t="s">
        <v>255</v>
      </c>
      <c r="G116">
        <v>14</v>
      </c>
    </row>
    <row r="117" spans="1:7" ht="15" customHeight="1" x14ac:dyDescent="0.2">
      <c r="A117" t="s">
        <v>227</v>
      </c>
      <c r="B117" t="s">
        <v>53</v>
      </c>
      <c r="C117">
        <v>1</v>
      </c>
      <c r="D117" t="s">
        <v>256</v>
      </c>
      <c r="E117">
        <v>13</v>
      </c>
      <c r="F117" t="s">
        <v>257</v>
      </c>
      <c r="G117">
        <v>1</v>
      </c>
    </row>
    <row r="118" spans="1:7" ht="15" customHeight="1" x14ac:dyDescent="0.2">
      <c r="A118" t="s">
        <v>227</v>
      </c>
      <c r="B118" t="s">
        <v>53</v>
      </c>
      <c r="C118">
        <v>2</v>
      </c>
      <c r="D118" t="s">
        <v>258</v>
      </c>
      <c r="E118">
        <v>6</v>
      </c>
      <c r="F118" t="s">
        <v>259</v>
      </c>
      <c r="G118">
        <v>2</v>
      </c>
    </row>
    <row r="119" spans="1:7" ht="15" customHeight="1" x14ac:dyDescent="0.2">
      <c r="A119" t="s">
        <v>227</v>
      </c>
      <c r="B119" t="s">
        <v>53</v>
      </c>
      <c r="C119">
        <v>3</v>
      </c>
      <c r="D119" t="s">
        <v>260</v>
      </c>
      <c r="E119">
        <v>9.5</v>
      </c>
      <c r="F119" t="s">
        <v>261</v>
      </c>
      <c r="G119">
        <v>3</v>
      </c>
    </row>
    <row r="120" spans="1:7" ht="15" customHeight="1" x14ac:dyDescent="0.2">
      <c r="A120" t="s">
        <v>227</v>
      </c>
      <c r="B120" t="s">
        <v>53</v>
      </c>
      <c r="C120">
        <v>4</v>
      </c>
      <c r="D120" t="s">
        <v>262</v>
      </c>
      <c r="E120">
        <v>11.5</v>
      </c>
      <c r="F120" t="s">
        <v>263</v>
      </c>
      <c r="G120">
        <v>4</v>
      </c>
    </row>
    <row r="121" spans="1:7" ht="15" customHeight="1" x14ac:dyDescent="0.2">
      <c r="A121" t="s">
        <v>227</v>
      </c>
      <c r="B121" t="s">
        <v>53</v>
      </c>
      <c r="C121">
        <v>5</v>
      </c>
      <c r="D121" t="s">
        <v>264</v>
      </c>
      <c r="E121">
        <v>13</v>
      </c>
      <c r="F121" t="s">
        <v>265</v>
      </c>
      <c r="G121">
        <v>5</v>
      </c>
    </row>
    <row r="122" spans="1:7" ht="15" customHeight="1" x14ac:dyDescent="0.2">
      <c r="A122" t="s">
        <v>227</v>
      </c>
      <c r="B122" t="s">
        <v>53</v>
      </c>
      <c r="C122">
        <v>6</v>
      </c>
      <c r="D122" t="s">
        <v>266</v>
      </c>
      <c r="E122">
        <v>11</v>
      </c>
      <c r="F122" t="s">
        <v>267</v>
      </c>
      <c r="G122">
        <v>6</v>
      </c>
    </row>
    <row r="123" spans="1:7" ht="15" customHeight="1" x14ac:dyDescent="0.2">
      <c r="A123" t="s">
        <v>227</v>
      </c>
      <c r="B123" t="s">
        <v>53</v>
      </c>
      <c r="C123">
        <v>7</v>
      </c>
      <c r="D123" t="s">
        <v>268</v>
      </c>
      <c r="E123">
        <v>13</v>
      </c>
      <c r="F123" t="s">
        <v>269</v>
      </c>
      <c r="G123">
        <v>7</v>
      </c>
    </row>
    <row r="124" spans="1:7" ht="15" customHeight="1" x14ac:dyDescent="0.2">
      <c r="A124" t="s">
        <v>227</v>
      </c>
      <c r="B124" t="s">
        <v>53</v>
      </c>
      <c r="C124">
        <v>8</v>
      </c>
      <c r="D124" t="s">
        <v>270</v>
      </c>
      <c r="E124">
        <v>11.5</v>
      </c>
      <c r="F124" t="s">
        <v>271</v>
      </c>
      <c r="G124">
        <v>8</v>
      </c>
    </row>
    <row r="125" spans="1:7" ht="15" customHeight="1" x14ac:dyDescent="0.2">
      <c r="A125" t="s">
        <v>227</v>
      </c>
      <c r="B125" t="s">
        <v>53</v>
      </c>
      <c r="C125">
        <v>9</v>
      </c>
      <c r="D125" t="s">
        <v>272</v>
      </c>
      <c r="E125">
        <v>15</v>
      </c>
      <c r="F125" t="s">
        <v>273</v>
      </c>
      <c r="G125">
        <v>9</v>
      </c>
    </row>
    <row r="126" spans="1:7" ht="15" customHeight="1" x14ac:dyDescent="0.2">
      <c r="A126" t="s">
        <v>227</v>
      </c>
      <c r="B126" t="s">
        <v>53</v>
      </c>
      <c r="C126">
        <v>10</v>
      </c>
      <c r="D126" t="s">
        <v>274</v>
      </c>
      <c r="E126">
        <v>11.5</v>
      </c>
      <c r="F126" t="s">
        <v>275</v>
      </c>
      <c r="G126">
        <v>10</v>
      </c>
    </row>
    <row r="127" spans="1:7" ht="15" customHeight="1" x14ac:dyDescent="0.2">
      <c r="A127" t="s">
        <v>227</v>
      </c>
      <c r="B127" t="s">
        <v>53</v>
      </c>
      <c r="C127">
        <v>11</v>
      </c>
      <c r="D127" t="s">
        <v>276</v>
      </c>
      <c r="E127">
        <v>9.5</v>
      </c>
      <c r="F127" t="s">
        <v>277</v>
      </c>
      <c r="G127">
        <v>11</v>
      </c>
    </row>
    <row r="128" spans="1:7" ht="15" customHeight="1" x14ac:dyDescent="0.2">
      <c r="A128" t="s">
        <v>227</v>
      </c>
      <c r="B128" t="s">
        <v>53</v>
      </c>
      <c r="C128">
        <v>12</v>
      </c>
      <c r="D128" t="s">
        <v>278</v>
      </c>
      <c r="E128">
        <v>7.5</v>
      </c>
      <c r="F128" t="s">
        <v>279</v>
      </c>
      <c r="G128">
        <v>12</v>
      </c>
    </row>
    <row r="129" spans="1:7" ht="15" customHeight="1" x14ac:dyDescent="0.2">
      <c r="A129" t="s">
        <v>227</v>
      </c>
      <c r="B129" t="s">
        <v>53</v>
      </c>
      <c r="C129">
        <v>13</v>
      </c>
      <c r="D129" t="s">
        <v>280</v>
      </c>
      <c r="E129">
        <v>15</v>
      </c>
      <c r="F129" t="s">
        <v>281</v>
      </c>
      <c r="G129">
        <v>13</v>
      </c>
    </row>
    <row r="130" spans="1:7" ht="15" customHeight="1" x14ac:dyDescent="0.2">
      <c r="A130" t="s">
        <v>227</v>
      </c>
      <c r="B130" t="s">
        <v>53</v>
      </c>
      <c r="C130">
        <v>14</v>
      </c>
      <c r="D130" t="s">
        <v>282</v>
      </c>
      <c r="E130">
        <v>7.5</v>
      </c>
      <c r="F130" t="s">
        <v>283</v>
      </c>
      <c r="G130">
        <v>14</v>
      </c>
    </row>
    <row r="131" spans="1:7" ht="15" customHeight="1" x14ac:dyDescent="0.2">
      <c r="A131" t="s">
        <v>227</v>
      </c>
      <c r="B131" t="s">
        <v>78</v>
      </c>
      <c r="C131">
        <v>1</v>
      </c>
      <c r="D131" t="s">
        <v>284</v>
      </c>
      <c r="E131">
        <v>9.5</v>
      </c>
      <c r="F131" t="s">
        <v>285</v>
      </c>
      <c r="G131">
        <v>1</v>
      </c>
    </row>
    <row r="132" spans="1:7" ht="15" customHeight="1" x14ac:dyDescent="0.2">
      <c r="A132" t="s">
        <v>227</v>
      </c>
      <c r="B132" t="s">
        <v>78</v>
      </c>
      <c r="C132">
        <v>2</v>
      </c>
      <c r="D132" t="s">
        <v>286</v>
      </c>
      <c r="E132">
        <v>7.5</v>
      </c>
      <c r="F132" t="s">
        <v>287</v>
      </c>
      <c r="G132">
        <v>2</v>
      </c>
    </row>
    <row r="133" spans="1:7" ht="15" customHeight="1" x14ac:dyDescent="0.2">
      <c r="A133" t="s">
        <v>227</v>
      </c>
      <c r="B133" t="s">
        <v>78</v>
      </c>
      <c r="C133">
        <v>3</v>
      </c>
      <c r="D133" t="s">
        <v>288</v>
      </c>
      <c r="E133">
        <v>11</v>
      </c>
      <c r="F133" t="s">
        <v>289</v>
      </c>
      <c r="G133">
        <v>3</v>
      </c>
    </row>
    <row r="134" spans="1:7" ht="15" customHeight="1" x14ac:dyDescent="0.2">
      <c r="A134" t="s">
        <v>227</v>
      </c>
      <c r="B134" t="s">
        <v>78</v>
      </c>
      <c r="C134">
        <v>4</v>
      </c>
      <c r="D134" t="s">
        <v>290</v>
      </c>
      <c r="E134">
        <v>13</v>
      </c>
      <c r="F134" t="s">
        <v>291</v>
      </c>
      <c r="G134">
        <v>4</v>
      </c>
    </row>
    <row r="135" spans="1:7" ht="15" customHeight="1" x14ac:dyDescent="0.2">
      <c r="A135" t="s">
        <v>227</v>
      </c>
      <c r="B135" t="s">
        <v>78</v>
      </c>
      <c r="C135">
        <v>5</v>
      </c>
      <c r="D135" t="s">
        <v>292</v>
      </c>
      <c r="E135">
        <v>16.5</v>
      </c>
      <c r="F135" t="s">
        <v>293</v>
      </c>
      <c r="G135">
        <v>5</v>
      </c>
    </row>
    <row r="136" spans="1:7" ht="15" customHeight="1" x14ac:dyDescent="0.2">
      <c r="A136" t="s">
        <v>227</v>
      </c>
      <c r="B136" t="s">
        <v>78</v>
      </c>
      <c r="C136">
        <v>6</v>
      </c>
      <c r="D136" t="s">
        <v>294</v>
      </c>
      <c r="E136">
        <v>13.5</v>
      </c>
      <c r="F136" t="s">
        <v>295</v>
      </c>
      <c r="G136">
        <v>6</v>
      </c>
    </row>
    <row r="137" spans="1:7" ht="15" customHeight="1" x14ac:dyDescent="0.2">
      <c r="A137" t="s">
        <v>227</v>
      </c>
      <c r="B137" t="s">
        <v>78</v>
      </c>
      <c r="C137">
        <v>7</v>
      </c>
      <c r="D137" t="s">
        <v>296</v>
      </c>
      <c r="E137">
        <v>11.5</v>
      </c>
      <c r="F137" t="s">
        <v>297</v>
      </c>
      <c r="G137">
        <v>7</v>
      </c>
    </row>
    <row r="138" spans="1:7" ht="15" customHeight="1" x14ac:dyDescent="0.2">
      <c r="A138" t="s">
        <v>227</v>
      </c>
      <c r="B138" t="s">
        <v>78</v>
      </c>
      <c r="C138">
        <v>8</v>
      </c>
      <c r="D138" t="s">
        <v>298</v>
      </c>
      <c r="E138">
        <v>13</v>
      </c>
      <c r="F138" t="s">
        <v>299</v>
      </c>
      <c r="G138">
        <v>8</v>
      </c>
    </row>
    <row r="139" spans="1:7" ht="15" customHeight="1" x14ac:dyDescent="0.2">
      <c r="A139" t="s">
        <v>227</v>
      </c>
      <c r="B139" t="s">
        <v>78</v>
      </c>
      <c r="C139">
        <v>9</v>
      </c>
      <c r="D139" t="s">
        <v>300</v>
      </c>
      <c r="E139">
        <v>13</v>
      </c>
      <c r="F139" t="s">
        <v>301</v>
      </c>
      <c r="G139">
        <v>9</v>
      </c>
    </row>
    <row r="140" spans="1:7" ht="15" customHeight="1" x14ac:dyDescent="0.2">
      <c r="A140" t="s">
        <v>227</v>
      </c>
      <c r="B140" t="s">
        <v>78</v>
      </c>
      <c r="C140">
        <v>10</v>
      </c>
      <c r="D140" t="s">
        <v>302</v>
      </c>
      <c r="E140">
        <v>9.5</v>
      </c>
      <c r="F140" t="s">
        <v>303</v>
      </c>
      <c r="G140">
        <v>10</v>
      </c>
    </row>
    <row r="141" spans="1:7" ht="15" customHeight="1" x14ac:dyDescent="0.2">
      <c r="A141" t="s">
        <v>227</v>
      </c>
      <c r="B141" t="s">
        <v>78</v>
      </c>
      <c r="C141">
        <v>11</v>
      </c>
      <c r="D141" t="s">
        <v>304</v>
      </c>
      <c r="E141">
        <v>11</v>
      </c>
      <c r="F141" t="s">
        <v>305</v>
      </c>
      <c r="G141">
        <v>11</v>
      </c>
    </row>
    <row r="142" spans="1:7" ht="15" customHeight="1" x14ac:dyDescent="0.2">
      <c r="A142" t="s">
        <v>227</v>
      </c>
      <c r="B142" t="s">
        <v>78</v>
      </c>
      <c r="C142">
        <v>12</v>
      </c>
      <c r="D142" t="s">
        <v>306</v>
      </c>
      <c r="E142">
        <v>7.5</v>
      </c>
      <c r="F142" t="s">
        <v>307</v>
      </c>
      <c r="G142">
        <v>12</v>
      </c>
    </row>
    <row r="143" spans="1:7" ht="15" customHeight="1" x14ac:dyDescent="0.2">
      <c r="A143" t="s">
        <v>227</v>
      </c>
      <c r="B143" t="s">
        <v>78</v>
      </c>
      <c r="C143">
        <v>13</v>
      </c>
      <c r="D143" t="s">
        <v>308</v>
      </c>
      <c r="E143">
        <v>7.5</v>
      </c>
      <c r="F143" t="s">
        <v>309</v>
      </c>
      <c r="G143">
        <v>13</v>
      </c>
    </row>
    <row r="144" spans="1:7" ht="15" customHeight="1" x14ac:dyDescent="0.2">
      <c r="A144" t="s">
        <v>227</v>
      </c>
      <c r="B144" t="s">
        <v>78</v>
      </c>
      <c r="C144">
        <v>14</v>
      </c>
      <c r="D144" t="s">
        <v>310</v>
      </c>
      <c r="E144">
        <v>9</v>
      </c>
      <c r="F144" t="s">
        <v>311</v>
      </c>
      <c r="G144">
        <v>14</v>
      </c>
    </row>
    <row r="145" spans="1:7" ht="15" customHeight="1" x14ac:dyDescent="0.2">
      <c r="A145" t="s">
        <v>227</v>
      </c>
      <c r="B145" t="s">
        <v>78</v>
      </c>
      <c r="C145">
        <v>15</v>
      </c>
      <c r="D145" t="s">
        <v>312</v>
      </c>
      <c r="E145">
        <v>7.5</v>
      </c>
      <c r="F145" t="s">
        <v>313</v>
      </c>
      <c r="G145">
        <v>15</v>
      </c>
    </row>
    <row r="146" spans="1:7" ht="15" customHeight="1" x14ac:dyDescent="0.2">
      <c r="A146" t="s">
        <v>227</v>
      </c>
      <c r="B146" t="s">
        <v>99</v>
      </c>
      <c r="C146">
        <v>1</v>
      </c>
      <c r="D146" t="s">
        <v>314</v>
      </c>
      <c r="E146">
        <v>4</v>
      </c>
      <c r="F146" t="s">
        <v>315</v>
      </c>
      <c r="G146">
        <v>1</v>
      </c>
    </row>
    <row r="147" spans="1:7" ht="15" customHeight="1" x14ac:dyDescent="0.2">
      <c r="A147" t="s">
        <v>227</v>
      </c>
      <c r="B147" t="s">
        <v>99</v>
      </c>
      <c r="C147">
        <v>2</v>
      </c>
      <c r="D147" t="s">
        <v>316</v>
      </c>
      <c r="E147">
        <v>9.5</v>
      </c>
      <c r="F147" t="s">
        <v>317</v>
      </c>
      <c r="G147">
        <v>2</v>
      </c>
    </row>
    <row r="148" spans="1:7" ht="15" customHeight="1" x14ac:dyDescent="0.2">
      <c r="A148" t="s">
        <v>227</v>
      </c>
      <c r="B148" t="s">
        <v>99</v>
      </c>
      <c r="C148">
        <v>3</v>
      </c>
      <c r="D148" t="s">
        <v>318</v>
      </c>
      <c r="E148">
        <v>6</v>
      </c>
      <c r="F148" t="s">
        <v>319</v>
      </c>
      <c r="G148">
        <v>3</v>
      </c>
    </row>
    <row r="149" spans="1:7" ht="15" customHeight="1" x14ac:dyDescent="0.2">
      <c r="A149" t="s">
        <v>227</v>
      </c>
      <c r="B149" t="s">
        <v>99</v>
      </c>
      <c r="C149">
        <v>4</v>
      </c>
      <c r="D149" t="s">
        <v>320</v>
      </c>
      <c r="E149">
        <v>7</v>
      </c>
      <c r="F149" t="s">
        <v>321</v>
      </c>
      <c r="G149">
        <v>4</v>
      </c>
    </row>
    <row r="150" spans="1:7" ht="15" customHeight="1" x14ac:dyDescent="0.2">
      <c r="A150" t="s">
        <v>227</v>
      </c>
      <c r="B150" t="s">
        <v>99</v>
      </c>
      <c r="C150">
        <v>5</v>
      </c>
      <c r="D150" t="s">
        <v>322</v>
      </c>
      <c r="E150">
        <v>12</v>
      </c>
      <c r="F150" t="s">
        <v>323</v>
      </c>
      <c r="G150">
        <v>5</v>
      </c>
    </row>
    <row r="151" spans="1:7" ht="15" customHeight="1" x14ac:dyDescent="0.2">
      <c r="A151" t="s">
        <v>227</v>
      </c>
      <c r="B151" t="s">
        <v>99</v>
      </c>
      <c r="C151">
        <v>6</v>
      </c>
      <c r="D151" t="s">
        <v>324</v>
      </c>
      <c r="E151">
        <v>10</v>
      </c>
      <c r="F151" t="s">
        <v>325</v>
      </c>
      <c r="G151">
        <v>6</v>
      </c>
    </row>
    <row r="152" spans="1:7" ht="15" customHeight="1" x14ac:dyDescent="0.2">
      <c r="A152" t="s">
        <v>227</v>
      </c>
      <c r="B152" t="s">
        <v>99</v>
      </c>
      <c r="C152">
        <v>7</v>
      </c>
      <c r="D152" t="s">
        <v>286</v>
      </c>
      <c r="E152">
        <v>8</v>
      </c>
      <c r="F152" t="s">
        <v>326</v>
      </c>
      <c r="G152">
        <v>7</v>
      </c>
    </row>
    <row r="153" spans="1:7" ht="15" customHeight="1" x14ac:dyDescent="0.2">
      <c r="A153" t="s">
        <v>227</v>
      </c>
      <c r="B153" t="s">
        <v>99</v>
      </c>
      <c r="C153">
        <v>8</v>
      </c>
      <c r="D153" t="s">
        <v>327</v>
      </c>
      <c r="E153">
        <v>11</v>
      </c>
      <c r="F153" t="s">
        <v>328</v>
      </c>
      <c r="G153">
        <v>8</v>
      </c>
    </row>
    <row r="154" spans="1:7" ht="15" customHeight="1" x14ac:dyDescent="0.2">
      <c r="A154" t="s">
        <v>227</v>
      </c>
      <c r="B154" t="s">
        <v>99</v>
      </c>
      <c r="C154">
        <v>9</v>
      </c>
      <c r="D154" t="s">
        <v>329</v>
      </c>
      <c r="E154">
        <v>11.5</v>
      </c>
      <c r="F154" t="s">
        <v>330</v>
      </c>
      <c r="G154">
        <v>9</v>
      </c>
    </row>
    <row r="155" spans="1:7" ht="15" customHeight="1" x14ac:dyDescent="0.2">
      <c r="A155" t="s">
        <v>227</v>
      </c>
      <c r="B155" t="s">
        <v>99</v>
      </c>
      <c r="C155">
        <v>10</v>
      </c>
      <c r="D155" t="s">
        <v>331</v>
      </c>
      <c r="E155">
        <v>8</v>
      </c>
      <c r="F155" t="s">
        <v>332</v>
      </c>
      <c r="G155">
        <v>10</v>
      </c>
    </row>
    <row r="156" spans="1:7" ht="15" customHeight="1" x14ac:dyDescent="0.2">
      <c r="A156" t="s">
        <v>227</v>
      </c>
      <c r="B156" t="s">
        <v>132</v>
      </c>
      <c r="C156">
        <v>1</v>
      </c>
      <c r="D156" t="s">
        <v>333</v>
      </c>
      <c r="E156">
        <v>7.5</v>
      </c>
      <c r="F156" t="s">
        <v>334</v>
      </c>
      <c r="G156">
        <v>1</v>
      </c>
    </row>
    <row r="157" spans="1:7" ht="15" customHeight="1" x14ac:dyDescent="0.2">
      <c r="A157" t="s">
        <v>227</v>
      </c>
      <c r="B157" t="s">
        <v>132</v>
      </c>
      <c r="C157">
        <v>2</v>
      </c>
      <c r="D157" t="s">
        <v>335</v>
      </c>
      <c r="E157">
        <v>6</v>
      </c>
      <c r="F157" t="s">
        <v>336</v>
      </c>
      <c r="G157">
        <v>2</v>
      </c>
    </row>
    <row r="158" spans="1:7" ht="15" customHeight="1" x14ac:dyDescent="0.2">
      <c r="A158" t="s">
        <v>227</v>
      </c>
      <c r="B158" t="s">
        <v>132</v>
      </c>
      <c r="C158">
        <v>3</v>
      </c>
      <c r="D158" t="s">
        <v>337</v>
      </c>
      <c r="E158">
        <v>6</v>
      </c>
      <c r="F158" t="s">
        <v>338</v>
      </c>
      <c r="G158">
        <v>3</v>
      </c>
    </row>
    <row r="159" spans="1:7" ht="15" customHeight="1" x14ac:dyDescent="0.2">
      <c r="A159" t="s">
        <v>227</v>
      </c>
      <c r="B159" t="s">
        <v>132</v>
      </c>
      <c r="C159">
        <v>4</v>
      </c>
      <c r="D159" t="s">
        <v>339</v>
      </c>
      <c r="E159">
        <v>6</v>
      </c>
      <c r="F159" t="s">
        <v>340</v>
      </c>
      <c r="G159">
        <v>4</v>
      </c>
    </row>
    <row r="160" spans="1:7" ht="15" customHeight="1" x14ac:dyDescent="0.2">
      <c r="A160" t="s">
        <v>227</v>
      </c>
      <c r="B160" t="s">
        <v>132</v>
      </c>
      <c r="C160">
        <v>5</v>
      </c>
      <c r="D160" t="s">
        <v>341</v>
      </c>
      <c r="E160">
        <v>10</v>
      </c>
      <c r="F160" t="s">
        <v>342</v>
      </c>
      <c r="G160">
        <v>5</v>
      </c>
    </row>
    <row r="161" spans="1:7" ht="15" customHeight="1" x14ac:dyDescent="0.2">
      <c r="A161" t="s">
        <v>227</v>
      </c>
      <c r="B161" t="s">
        <v>132</v>
      </c>
      <c r="C161">
        <v>6</v>
      </c>
      <c r="D161" t="s">
        <v>318</v>
      </c>
      <c r="E161">
        <v>6</v>
      </c>
      <c r="F161" t="s">
        <v>343</v>
      </c>
      <c r="G161">
        <v>6</v>
      </c>
    </row>
    <row r="162" spans="1:7" ht="15" customHeight="1" x14ac:dyDescent="0.2">
      <c r="A162" t="s">
        <v>227</v>
      </c>
      <c r="B162" t="s">
        <v>132</v>
      </c>
      <c r="C162">
        <v>7</v>
      </c>
      <c r="D162" t="s">
        <v>344</v>
      </c>
      <c r="E162">
        <v>8</v>
      </c>
      <c r="F162" t="s">
        <v>345</v>
      </c>
      <c r="G162">
        <v>7</v>
      </c>
    </row>
    <row r="163" spans="1:7" ht="15" customHeight="1" x14ac:dyDescent="0.2">
      <c r="A163" t="s">
        <v>227</v>
      </c>
      <c r="B163" t="s">
        <v>132</v>
      </c>
      <c r="C163">
        <v>8</v>
      </c>
      <c r="D163" t="s">
        <v>346</v>
      </c>
      <c r="E163">
        <v>6</v>
      </c>
      <c r="F163" t="s">
        <v>347</v>
      </c>
      <c r="G163">
        <v>8</v>
      </c>
    </row>
    <row r="164" spans="1:7" ht="15" customHeight="1" x14ac:dyDescent="0.2">
      <c r="A164" t="s">
        <v>227</v>
      </c>
      <c r="B164" t="s">
        <v>132</v>
      </c>
      <c r="C164">
        <v>9</v>
      </c>
      <c r="D164" t="s">
        <v>348</v>
      </c>
      <c r="E164">
        <v>10</v>
      </c>
      <c r="F164" t="s">
        <v>349</v>
      </c>
      <c r="G164">
        <v>9</v>
      </c>
    </row>
    <row r="165" spans="1:7" ht="15" customHeight="1" x14ac:dyDescent="0.2">
      <c r="A165" t="s">
        <v>227</v>
      </c>
      <c r="B165" t="s">
        <v>132</v>
      </c>
      <c r="C165">
        <v>10</v>
      </c>
      <c r="D165" t="s">
        <v>350</v>
      </c>
      <c r="E165">
        <v>8</v>
      </c>
      <c r="F165" t="s">
        <v>351</v>
      </c>
      <c r="G165">
        <v>10</v>
      </c>
    </row>
    <row r="166" spans="1:7" ht="15" customHeight="1" x14ac:dyDescent="0.2">
      <c r="A166" t="s">
        <v>227</v>
      </c>
      <c r="B166" t="s">
        <v>132</v>
      </c>
      <c r="C166">
        <v>11</v>
      </c>
      <c r="D166" t="s">
        <v>352</v>
      </c>
      <c r="E166">
        <v>8</v>
      </c>
      <c r="F166" t="s">
        <v>353</v>
      </c>
      <c r="G166">
        <v>11</v>
      </c>
    </row>
    <row r="167" spans="1:7" ht="15" customHeight="1" x14ac:dyDescent="0.2">
      <c r="A167" t="s">
        <v>227</v>
      </c>
      <c r="B167" t="s">
        <v>132</v>
      </c>
      <c r="C167">
        <v>12</v>
      </c>
      <c r="D167" t="s">
        <v>354</v>
      </c>
      <c r="E167">
        <v>8</v>
      </c>
      <c r="F167" t="s">
        <v>355</v>
      </c>
      <c r="G167">
        <v>12</v>
      </c>
    </row>
    <row r="168" spans="1:7" ht="15" customHeight="1" x14ac:dyDescent="0.2">
      <c r="A168" t="s">
        <v>227</v>
      </c>
      <c r="B168" t="s">
        <v>132</v>
      </c>
      <c r="C168">
        <v>13</v>
      </c>
      <c r="D168" t="s">
        <v>356</v>
      </c>
      <c r="E168">
        <v>12</v>
      </c>
      <c r="F168" t="s">
        <v>357</v>
      </c>
      <c r="G168">
        <v>13</v>
      </c>
    </row>
    <row r="169" spans="1:7" ht="15" customHeight="1" x14ac:dyDescent="0.2">
      <c r="A169" t="s">
        <v>227</v>
      </c>
      <c r="B169" t="s">
        <v>132</v>
      </c>
      <c r="C169">
        <v>14</v>
      </c>
      <c r="D169" t="s">
        <v>358</v>
      </c>
      <c r="E169">
        <v>12</v>
      </c>
      <c r="F169" t="s">
        <v>359</v>
      </c>
      <c r="G169">
        <v>14</v>
      </c>
    </row>
    <row r="170" spans="1:7" ht="15" customHeight="1" x14ac:dyDescent="0.2">
      <c r="A170" t="s">
        <v>227</v>
      </c>
      <c r="B170" t="s">
        <v>132</v>
      </c>
      <c r="C170">
        <v>15</v>
      </c>
      <c r="D170" t="s">
        <v>360</v>
      </c>
      <c r="E170">
        <v>8</v>
      </c>
      <c r="F170" t="s">
        <v>361</v>
      </c>
      <c r="G170">
        <v>15</v>
      </c>
    </row>
    <row r="171" spans="1:7" ht="15" customHeight="1" x14ac:dyDescent="0.2">
      <c r="A171" t="s">
        <v>227</v>
      </c>
      <c r="B171" t="s">
        <v>163</v>
      </c>
      <c r="C171">
        <v>1</v>
      </c>
      <c r="D171" t="s">
        <v>362</v>
      </c>
      <c r="E171">
        <v>6</v>
      </c>
      <c r="F171" t="s">
        <v>363</v>
      </c>
      <c r="G171">
        <v>1</v>
      </c>
    </row>
    <row r="172" spans="1:7" ht="15" customHeight="1" x14ac:dyDescent="0.2">
      <c r="A172" t="s">
        <v>227</v>
      </c>
      <c r="B172" t="s">
        <v>163</v>
      </c>
      <c r="C172">
        <v>2</v>
      </c>
      <c r="D172" t="s">
        <v>364</v>
      </c>
      <c r="E172">
        <v>8</v>
      </c>
      <c r="F172" t="s">
        <v>365</v>
      </c>
      <c r="G172">
        <v>2</v>
      </c>
    </row>
    <row r="173" spans="1:7" ht="15" customHeight="1" x14ac:dyDescent="0.2">
      <c r="A173" t="s">
        <v>227</v>
      </c>
      <c r="B173" t="s">
        <v>163</v>
      </c>
      <c r="C173">
        <v>3</v>
      </c>
      <c r="D173" t="s">
        <v>366</v>
      </c>
      <c r="E173">
        <v>4</v>
      </c>
      <c r="F173" t="s">
        <v>367</v>
      </c>
      <c r="G173">
        <v>3</v>
      </c>
    </row>
    <row r="174" spans="1:7" ht="15" customHeight="1" x14ac:dyDescent="0.2">
      <c r="A174" t="s">
        <v>227</v>
      </c>
      <c r="B174" t="s">
        <v>163</v>
      </c>
      <c r="C174">
        <v>4</v>
      </c>
      <c r="D174" t="s">
        <v>368</v>
      </c>
      <c r="E174">
        <v>10</v>
      </c>
      <c r="F174" t="s">
        <v>369</v>
      </c>
      <c r="G174">
        <v>4</v>
      </c>
    </row>
    <row r="175" spans="1:7" ht="15" customHeight="1" x14ac:dyDescent="0.2">
      <c r="A175" t="s">
        <v>227</v>
      </c>
      <c r="B175" t="s">
        <v>163</v>
      </c>
      <c r="C175">
        <v>5</v>
      </c>
      <c r="D175" t="s">
        <v>318</v>
      </c>
      <c r="E175">
        <v>8</v>
      </c>
      <c r="F175" t="s">
        <v>370</v>
      </c>
      <c r="G175">
        <v>5</v>
      </c>
    </row>
    <row r="176" spans="1:7" ht="15" customHeight="1" x14ac:dyDescent="0.2">
      <c r="A176" t="s">
        <v>227</v>
      </c>
      <c r="B176" t="s">
        <v>163</v>
      </c>
      <c r="C176">
        <v>6</v>
      </c>
      <c r="D176" t="s">
        <v>371</v>
      </c>
      <c r="E176">
        <v>11</v>
      </c>
      <c r="F176" t="s">
        <v>372</v>
      </c>
      <c r="G176">
        <v>6</v>
      </c>
    </row>
    <row r="177" spans="1:7" ht="15" customHeight="1" x14ac:dyDescent="0.2">
      <c r="A177" t="s">
        <v>227</v>
      </c>
      <c r="B177" t="s">
        <v>163</v>
      </c>
      <c r="C177">
        <v>7</v>
      </c>
      <c r="D177" t="s">
        <v>373</v>
      </c>
      <c r="E177">
        <v>12</v>
      </c>
      <c r="F177" t="s">
        <v>374</v>
      </c>
      <c r="G177">
        <v>7</v>
      </c>
    </row>
    <row r="178" spans="1:7" ht="15" customHeight="1" x14ac:dyDescent="0.2">
      <c r="A178" t="s">
        <v>227</v>
      </c>
      <c r="B178" t="s">
        <v>163</v>
      </c>
      <c r="C178">
        <v>8</v>
      </c>
      <c r="D178" t="s">
        <v>375</v>
      </c>
      <c r="E178">
        <v>10</v>
      </c>
      <c r="F178" t="s">
        <v>376</v>
      </c>
      <c r="G178">
        <v>8</v>
      </c>
    </row>
    <row r="179" spans="1:7" ht="15" customHeight="1" x14ac:dyDescent="0.2">
      <c r="A179" t="s">
        <v>227</v>
      </c>
      <c r="B179" t="s">
        <v>163</v>
      </c>
      <c r="C179">
        <v>9</v>
      </c>
      <c r="D179" t="s">
        <v>377</v>
      </c>
      <c r="E179">
        <v>10</v>
      </c>
      <c r="F179" t="s">
        <v>378</v>
      </c>
      <c r="G179">
        <v>9</v>
      </c>
    </row>
    <row r="180" spans="1:7" ht="15" customHeight="1" x14ac:dyDescent="0.2">
      <c r="A180" t="s">
        <v>227</v>
      </c>
      <c r="B180" t="s">
        <v>163</v>
      </c>
      <c r="C180">
        <v>10</v>
      </c>
      <c r="D180" t="s">
        <v>379</v>
      </c>
      <c r="E180">
        <v>8</v>
      </c>
      <c r="F180" t="s">
        <v>380</v>
      </c>
      <c r="G180">
        <v>10</v>
      </c>
    </row>
    <row r="181" spans="1:7" ht="15" customHeight="1" x14ac:dyDescent="0.2">
      <c r="A181" t="s">
        <v>227</v>
      </c>
      <c r="B181" t="s">
        <v>163</v>
      </c>
      <c r="C181">
        <v>11</v>
      </c>
      <c r="D181" t="s">
        <v>381</v>
      </c>
      <c r="E181">
        <v>12</v>
      </c>
      <c r="F181" t="s">
        <v>382</v>
      </c>
      <c r="G181">
        <v>11</v>
      </c>
    </row>
    <row r="182" spans="1:7" ht="15" customHeight="1" x14ac:dyDescent="0.2">
      <c r="A182" t="s">
        <v>227</v>
      </c>
      <c r="B182" t="s">
        <v>163</v>
      </c>
      <c r="C182">
        <v>12</v>
      </c>
      <c r="D182" t="s">
        <v>383</v>
      </c>
      <c r="E182">
        <v>11</v>
      </c>
      <c r="F182" t="s">
        <v>384</v>
      </c>
      <c r="G182">
        <v>12</v>
      </c>
    </row>
    <row r="183" spans="1:7" ht="15" customHeight="1" x14ac:dyDescent="0.2">
      <c r="A183" t="s">
        <v>227</v>
      </c>
      <c r="B183" t="s">
        <v>163</v>
      </c>
      <c r="C183">
        <v>13</v>
      </c>
      <c r="D183" t="s">
        <v>385</v>
      </c>
      <c r="E183">
        <v>4</v>
      </c>
      <c r="F183" t="s">
        <v>386</v>
      </c>
      <c r="G183">
        <v>13</v>
      </c>
    </row>
    <row r="184" spans="1:7" ht="15" customHeight="1" x14ac:dyDescent="0.2">
      <c r="A184" t="s">
        <v>227</v>
      </c>
      <c r="B184" t="s">
        <v>163</v>
      </c>
      <c r="C184">
        <v>14</v>
      </c>
      <c r="D184" t="s">
        <v>387</v>
      </c>
      <c r="E184">
        <v>10</v>
      </c>
      <c r="F184" t="s">
        <v>388</v>
      </c>
      <c r="G184">
        <v>14</v>
      </c>
    </row>
    <row r="185" spans="1:7" ht="15" customHeight="1" x14ac:dyDescent="0.2">
      <c r="A185" t="s">
        <v>227</v>
      </c>
      <c r="B185" t="s">
        <v>194</v>
      </c>
      <c r="C185">
        <v>1</v>
      </c>
      <c r="D185" t="s">
        <v>389</v>
      </c>
      <c r="E185">
        <v>7.5</v>
      </c>
      <c r="F185" t="s">
        <v>390</v>
      </c>
      <c r="G185">
        <v>1</v>
      </c>
    </row>
    <row r="186" spans="1:7" ht="15" customHeight="1" x14ac:dyDescent="0.2">
      <c r="A186" t="s">
        <v>227</v>
      </c>
      <c r="B186" t="s">
        <v>194</v>
      </c>
      <c r="C186">
        <v>2</v>
      </c>
      <c r="D186" t="s">
        <v>391</v>
      </c>
      <c r="E186">
        <v>9</v>
      </c>
      <c r="F186" t="s">
        <v>392</v>
      </c>
      <c r="G186">
        <v>2</v>
      </c>
    </row>
    <row r="187" spans="1:7" ht="15" customHeight="1" x14ac:dyDescent="0.2">
      <c r="A187" t="s">
        <v>227</v>
      </c>
      <c r="B187" t="s">
        <v>194</v>
      </c>
      <c r="C187">
        <v>3</v>
      </c>
      <c r="D187" t="s">
        <v>393</v>
      </c>
      <c r="E187">
        <v>13</v>
      </c>
      <c r="F187" t="s">
        <v>394</v>
      </c>
      <c r="G187">
        <v>3</v>
      </c>
    </row>
    <row r="188" spans="1:7" ht="15" customHeight="1" x14ac:dyDescent="0.2">
      <c r="A188" t="s">
        <v>227</v>
      </c>
      <c r="B188" t="s">
        <v>194</v>
      </c>
      <c r="C188">
        <v>4</v>
      </c>
      <c r="D188" t="s">
        <v>395</v>
      </c>
      <c r="E188">
        <v>11</v>
      </c>
      <c r="F188" t="s">
        <v>396</v>
      </c>
      <c r="G188">
        <v>4</v>
      </c>
    </row>
    <row r="189" spans="1:7" ht="15" customHeight="1" x14ac:dyDescent="0.2">
      <c r="A189" t="s">
        <v>227</v>
      </c>
      <c r="B189" t="s">
        <v>194</v>
      </c>
      <c r="C189">
        <v>5</v>
      </c>
      <c r="D189" t="s">
        <v>397</v>
      </c>
      <c r="E189">
        <v>11.5</v>
      </c>
      <c r="F189" t="s">
        <v>398</v>
      </c>
      <c r="G189">
        <v>5</v>
      </c>
    </row>
    <row r="190" spans="1:7" ht="15" customHeight="1" x14ac:dyDescent="0.2">
      <c r="A190" t="s">
        <v>227</v>
      </c>
      <c r="B190" t="s">
        <v>194</v>
      </c>
      <c r="C190">
        <v>6</v>
      </c>
      <c r="D190" t="s">
        <v>399</v>
      </c>
      <c r="E190">
        <v>11</v>
      </c>
      <c r="F190" t="s">
        <v>400</v>
      </c>
      <c r="G190">
        <v>6</v>
      </c>
    </row>
    <row r="191" spans="1:7" ht="15" customHeight="1" x14ac:dyDescent="0.2">
      <c r="A191" t="s">
        <v>227</v>
      </c>
      <c r="B191" t="s">
        <v>194</v>
      </c>
      <c r="C191">
        <v>7</v>
      </c>
      <c r="D191" t="s">
        <v>401</v>
      </c>
      <c r="E191">
        <v>7.5</v>
      </c>
      <c r="F191" t="s">
        <v>402</v>
      </c>
      <c r="G191">
        <v>7</v>
      </c>
    </row>
    <row r="192" spans="1:7" ht="15" customHeight="1" x14ac:dyDescent="0.2">
      <c r="A192" t="s">
        <v>227</v>
      </c>
      <c r="B192" t="s">
        <v>194</v>
      </c>
      <c r="C192">
        <v>8</v>
      </c>
      <c r="D192" t="s">
        <v>403</v>
      </c>
      <c r="E192">
        <v>9</v>
      </c>
      <c r="F192" t="s">
        <v>404</v>
      </c>
      <c r="G192">
        <v>8</v>
      </c>
    </row>
    <row r="193" spans="1:7" ht="15" customHeight="1" x14ac:dyDescent="0.2">
      <c r="A193" t="s">
        <v>227</v>
      </c>
      <c r="B193" t="s">
        <v>194</v>
      </c>
      <c r="C193">
        <v>9</v>
      </c>
      <c r="D193" t="s">
        <v>405</v>
      </c>
      <c r="E193">
        <v>9.9375</v>
      </c>
      <c r="F193" t="s">
        <v>406</v>
      </c>
      <c r="G193">
        <v>9</v>
      </c>
    </row>
    <row r="194" spans="1:7" ht="15" customHeight="1" x14ac:dyDescent="0.2">
      <c r="A194" t="s">
        <v>227</v>
      </c>
      <c r="B194" t="s">
        <v>194</v>
      </c>
      <c r="C194">
        <v>10</v>
      </c>
      <c r="D194" t="s">
        <v>407</v>
      </c>
      <c r="E194">
        <v>9.9375</v>
      </c>
      <c r="F194" t="s">
        <v>408</v>
      </c>
      <c r="G194">
        <v>10</v>
      </c>
    </row>
    <row r="195" spans="1:7" ht="15" customHeight="1" x14ac:dyDescent="0.2">
      <c r="A195" t="s">
        <v>227</v>
      </c>
      <c r="B195" t="s">
        <v>194</v>
      </c>
      <c r="C195">
        <v>11</v>
      </c>
      <c r="D195" t="s">
        <v>409</v>
      </c>
      <c r="E195">
        <v>9.9375</v>
      </c>
      <c r="F195" t="s">
        <v>410</v>
      </c>
      <c r="G195">
        <v>11</v>
      </c>
    </row>
    <row r="196" spans="1:7" ht="15" customHeight="1" x14ac:dyDescent="0.2">
      <c r="A196" t="s">
        <v>227</v>
      </c>
      <c r="B196" t="s">
        <v>194</v>
      </c>
      <c r="C196">
        <v>12</v>
      </c>
      <c r="D196" t="s">
        <v>411</v>
      </c>
      <c r="E196">
        <v>9.9375</v>
      </c>
      <c r="F196" t="s">
        <v>412</v>
      </c>
      <c r="G196">
        <v>12</v>
      </c>
    </row>
    <row r="197" spans="1:7" ht="15" customHeight="1" x14ac:dyDescent="0.2">
      <c r="A197" t="s">
        <v>227</v>
      </c>
      <c r="B197" t="s">
        <v>194</v>
      </c>
      <c r="C197">
        <v>13</v>
      </c>
      <c r="D197" t="s">
        <v>413</v>
      </c>
      <c r="E197">
        <v>9.9375</v>
      </c>
      <c r="F197" t="s">
        <v>414</v>
      </c>
      <c r="G197">
        <v>13</v>
      </c>
    </row>
    <row r="198" spans="1:7" ht="15" customHeight="1" x14ac:dyDescent="0.2">
      <c r="A198" t="s">
        <v>227</v>
      </c>
      <c r="B198" t="s">
        <v>194</v>
      </c>
      <c r="C198">
        <v>14</v>
      </c>
      <c r="D198" t="s">
        <v>415</v>
      </c>
      <c r="E198">
        <v>9.9375</v>
      </c>
      <c r="F198" t="s">
        <v>416</v>
      </c>
      <c r="G198">
        <v>14</v>
      </c>
    </row>
    <row r="199" spans="1:7" ht="15" customHeight="1" x14ac:dyDescent="0.2">
      <c r="A199" t="s">
        <v>227</v>
      </c>
      <c r="B199" t="s">
        <v>194</v>
      </c>
      <c r="C199">
        <v>15</v>
      </c>
      <c r="D199" t="s">
        <v>417</v>
      </c>
      <c r="E199">
        <v>9.9375</v>
      </c>
      <c r="F199" t="s">
        <v>418</v>
      </c>
      <c r="G199">
        <v>15</v>
      </c>
    </row>
    <row r="200" spans="1:7" ht="15" customHeight="1" x14ac:dyDescent="0.2">
      <c r="A200" t="s">
        <v>227</v>
      </c>
      <c r="B200" t="s">
        <v>194</v>
      </c>
      <c r="C200">
        <v>16</v>
      </c>
      <c r="D200" t="s">
        <v>419</v>
      </c>
      <c r="E200">
        <v>9.9375</v>
      </c>
      <c r="F200" t="s">
        <v>420</v>
      </c>
      <c r="G200">
        <v>16</v>
      </c>
    </row>
    <row r="201" spans="1:7" ht="15" customHeight="1" x14ac:dyDescent="0.2">
      <c r="A201" t="s">
        <v>421</v>
      </c>
      <c r="B201" t="s">
        <v>99</v>
      </c>
      <c r="C201">
        <v>1</v>
      </c>
      <c r="D201" t="s">
        <v>422</v>
      </c>
      <c r="E201">
        <v>2</v>
      </c>
      <c r="F201" t="s">
        <v>423</v>
      </c>
      <c r="G201">
        <v>1</v>
      </c>
    </row>
    <row r="202" spans="1:7" ht="15" customHeight="1" x14ac:dyDescent="0.2">
      <c r="A202" t="s">
        <v>421</v>
      </c>
      <c r="B202" t="s">
        <v>99</v>
      </c>
      <c r="C202">
        <v>2</v>
      </c>
      <c r="D202" t="s">
        <v>424</v>
      </c>
      <c r="E202">
        <v>12</v>
      </c>
      <c r="F202" t="s">
        <v>425</v>
      </c>
      <c r="G202">
        <v>2</v>
      </c>
    </row>
    <row r="203" spans="1:7" ht="15" customHeight="1" x14ac:dyDescent="0.2">
      <c r="A203" t="s">
        <v>421</v>
      </c>
      <c r="B203" t="s">
        <v>99</v>
      </c>
      <c r="C203">
        <v>3</v>
      </c>
      <c r="D203" t="s">
        <v>426</v>
      </c>
      <c r="E203">
        <v>9.5</v>
      </c>
      <c r="F203" t="s">
        <v>427</v>
      </c>
      <c r="G203">
        <v>3</v>
      </c>
    </row>
    <row r="204" spans="1:7" ht="15" customHeight="1" x14ac:dyDescent="0.2">
      <c r="A204" t="s">
        <v>421</v>
      </c>
      <c r="B204" t="s">
        <v>99</v>
      </c>
      <c r="C204">
        <v>4</v>
      </c>
      <c r="D204" t="s">
        <v>428</v>
      </c>
      <c r="E204">
        <v>8</v>
      </c>
      <c r="F204" t="s">
        <v>429</v>
      </c>
      <c r="G204">
        <v>4</v>
      </c>
    </row>
    <row r="205" spans="1:7" ht="15" customHeight="1" x14ac:dyDescent="0.2">
      <c r="A205" t="s">
        <v>421</v>
      </c>
      <c r="B205" t="s">
        <v>99</v>
      </c>
      <c r="C205">
        <v>5</v>
      </c>
      <c r="D205" t="s">
        <v>430</v>
      </c>
      <c r="E205">
        <v>8</v>
      </c>
      <c r="F205" t="s">
        <v>431</v>
      </c>
      <c r="G205">
        <v>5</v>
      </c>
    </row>
    <row r="206" spans="1:7" ht="15" customHeight="1" x14ac:dyDescent="0.2">
      <c r="A206" t="s">
        <v>421</v>
      </c>
      <c r="B206" t="s">
        <v>99</v>
      </c>
      <c r="C206">
        <v>6</v>
      </c>
      <c r="D206" t="s">
        <v>432</v>
      </c>
      <c r="E206">
        <v>8</v>
      </c>
      <c r="F206" t="s">
        <v>433</v>
      </c>
      <c r="G206">
        <v>6</v>
      </c>
    </row>
    <row r="207" spans="1:7" ht="15" customHeight="1" x14ac:dyDescent="0.2">
      <c r="A207" t="s">
        <v>421</v>
      </c>
      <c r="B207" t="s">
        <v>99</v>
      </c>
      <c r="C207">
        <v>7</v>
      </c>
      <c r="D207" t="s">
        <v>434</v>
      </c>
      <c r="E207">
        <v>7.5</v>
      </c>
      <c r="F207" t="s">
        <v>435</v>
      </c>
      <c r="G207">
        <v>7</v>
      </c>
    </row>
    <row r="208" spans="1:7" ht="15" customHeight="1" x14ac:dyDescent="0.2">
      <c r="A208" t="s">
        <v>421</v>
      </c>
      <c r="B208" t="s">
        <v>99</v>
      </c>
      <c r="C208">
        <v>8</v>
      </c>
      <c r="D208" t="s">
        <v>436</v>
      </c>
      <c r="E208">
        <v>12</v>
      </c>
      <c r="F208" t="s">
        <v>437</v>
      </c>
      <c r="G208">
        <v>8</v>
      </c>
    </row>
    <row r="209" spans="1:7" ht="15" customHeight="1" x14ac:dyDescent="0.2">
      <c r="A209" t="s">
        <v>421</v>
      </c>
      <c r="B209" t="s">
        <v>99</v>
      </c>
      <c r="C209">
        <v>9</v>
      </c>
      <c r="D209" t="s">
        <v>438</v>
      </c>
      <c r="E209">
        <v>11.5</v>
      </c>
      <c r="F209" t="s">
        <v>439</v>
      </c>
      <c r="G209">
        <v>9</v>
      </c>
    </row>
    <row r="210" spans="1:7" ht="15" customHeight="1" x14ac:dyDescent="0.2">
      <c r="A210" t="s">
        <v>421</v>
      </c>
      <c r="B210" t="s">
        <v>99</v>
      </c>
      <c r="C210">
        <v>10</v>
      </c>
      <c r="D210" t="s">
        <v>440</v>
      </c>
      <c r="E210">
        <v>10</v>
      </c>
      <c r="F210" t="s">
        <v>441</v>
      </c>
      <c r="G210">
        <v>10</v>
      </c>
    </row>
    <row r="211" spans="1:7" ht="15" customHeight="1" x14ac:dyDescent="0.2">
      <c r="A211" t="s">
        <v>421</v>
      </c>
      <c r="B211" t="s">
        <v>99</v>
      </c>
      <c r="C211">
        <v>11</v>
      </c>
      <c r="D211" t="s">
        <v>442</v>
      </c>
      <c r="E211">
        <v>8</v>
      </c>
      <c r="F211" t="s">
        <v>443</v>
      </c>
      <c r="G211">
        <v>11</v>
      </c>
    </row>
    <row r="212" spans="1:7" ht="15" customHeight="1" x14ac:dyDescent="0.2">
      <c r="A212" t="s">
        <v>421</v>
      </c>
      <c r="B212" t="s">
        <v>99</v>
      </c>
      <c r="C212">
        <v>12</v>
      </c>
      <c r="D212" t="s">
        <v>444</v>
      </c>
      <c r="E212">
        <v>8</v>
      </c>
      <c r="F212" t="s">
        <v>445</v>
      </c>
      <c r="G212">
        <v>12</v>
      </c>
    </row>
    <row r="213" spans="1:7" ht="15" customHeight="1" x14ac:dyDescent="0.2">
      <c r="A213" t="s">
        <v>421</v>
      </c>
      <c r="B213" t="s">
        <v>132</v>
      </c>
      <c r="C213">
        <v>1</v>
      </c>
      <c r="D213" t="s">
        <v>446</v>
      </c>
      <c r="E213">
        <v>4</v>
      </c>
      <c r="F213" t="s">
        <v>447</v>
      </c>
      <c r="G213">
        <v>1</v>
      </c>
    </row>
    <row r="214" spans="1:7" ht="15" customHeight="1" x14ac:dyDescent="0.2">
      <c r="A214" t="s">
        <v>421</v>
      </c>
      <c r="B214" t="s">
        <v>132</v>
      </c>
      <c r="C214">
        <v>2</v>
      </c>
      <c r="D214" t="s">
        <v>448</v>
      </c>
      <c r="E214">
        <v>8</v>
      </c>
      <c r="F214" t="s">
        <v>449</v>
      </c>
      <c r="G214">
        <v>2</v>
      </c>
    </row>
    <row r="215" spans="1:7" ht="15" customHeight="1" x14ac:dyDescent="0.2">
      <c r="A215" t="s">
        <v>421</v>
      </c>
      <c r="B215" t="s">
        <v>132</v>
      </c>
      <c r="C215">
        <v>3</v>
      </c>
      <c r="D215" t="s">
        <v>450</v>
      </c>
      <c r="E215">
        <v>10</v>
      </c>
      <c r="F215" t="s">
        <v>451</v>
      </c>
      <c r="G215">
        <v>3</v>
      </c>
    </row>
    <row r="216" spans="1:7" ht="15" customHeight="1" x14ac:dyDescent="0.2">
      <c r="A216" t="s">
        <v>421</v>
      </c>
      <c r="B216" t="s">
        <v>132</v>
      </c>
      <c r="C216">
        <v>4</v>
      </c>
      <c r="D216" t="s">
        <v>452</v>
      </c>
      <c r="E216">
        <v>9.5</v>
      </c>
      <c r="F216" t="s">
        <v>453</v>
      </c>
      <c r="G216">
        <v>4</v>
      </c>
    </row>
    <row r="217" spans="1:7" ht="15" customHeight="1" x14ac:dyDescent="0.2">
      <c r="A217" t="s">
        <v>421</v>
      </c>
      <c r="B217" t="s">
        <v>132</v>
      </c>
      <c r="C217">
        <v>5</v>
      </c>
      <c r="D217" t="s">
        <v>454</v>
      </c>
      <c r="E217">
        <v>8</v>
      </c>
      <c r="F217" t="s">
        <v>455</v>
      </c>
      <c r="G217">
        <v>5</v>
      </c>
    </row>
    <row r="218" spans="1:7" ht="15" customHeight="1" x14ac:dyDescent="0.2">
      <c r="A218" t="s">
        <v>421</v>
      </c>
      <c r="B218" t="s">
        <v>132</v>
      </c>
      <c r="C218">
        <v>6</v>
      </c>
      <c r="D218" t="s">
        <v>456</v>
      </c>
      <c r="E218">
        <v>6</v>
      </c>
      <c r="F218" t="s">
        <v>457</v>
      </c>
      <c r="G218">
        <v>6</v>
      </c>
    </row>
    <row r="219" spans="1:7" ht="15" customHeight="1" x14ac:dyDescent="0.2">
      <c r="A219" t="s">
        <v>421</v>
      </c>
      <c r="B219" t="s">
        <v>132</v>
      </c>
      <c r="C219">
        <v>7</v>
      </c>
      <c r="D219" t="s">
        <v>458</v>
      </c>
      <c r="E219">
        <v>8</v>
      </c>
      <c r="F219" t="s">
        <v>459</v>
      </c>
      <c r="G219">
        <v>7</v>
      </c>
    </row>
    <row r="220" spans="1:7" ht="15" customHeight="1" x14ac:dyDescent="0.2">
      <c r="A220" t="s">
        <v>421</v>
      </c>
      <c r="B220" t="s">
        <v>132</v>
      </c>
      <c r="C220">
        <v>8</v>
      </c>
      <c r="D220" t="s">
        <v>460</v>
      </c>
      <c r="E220">
        <v>8</v>
      </c>
      <c r="F220" t="s">
        <v>461</v>
      </c>
      <c r="G220">
        <v>8</v>
      </c>
    </row>
    <row r="221" spans="1:7" ht="15" customHeight="1" x14ac:dyDescent="0.2">
      <c r="A221" t="s">
        <v>421</v>
      </c>
      <c r="B221" t="s">
        <v>132</v>
      </c>
      <c r="C221">
        <v>9</v>
      </c>
      <c r="D221" t="s">
        <v>462</v>
      </c>
      <c r="E221">
        <v>9.5</v>
      </c>
      <c r="F221" t="s">
        <v>463</v>
      </c>
      <c r="G221">
        <v>9</v>
      </c>
    </row>
    <row r="222" spans="1:7" ht="15" customHeight="1" x14ac:dyDescent="0.2">
      <c r="A222" t="s">
        <v>421</v>
      </c>
      <c r="B222" t="s">
        <v>132</v>
      </c>
      <c r="C222">
        <v>10</v>
      </c>
      <c r="D222" t="s">
        <v>464</v>
      </c>
      <c r="E222">
        <v>11</v>
      </c>
      <c r="F222" t="s">
        <v>465</v>
      </c>
      <c r="G222">
        <v>10</v>
      </c>
    </row>
    <row r="223" spans="1:7" ht="15" customHeight="1" x14ac:dyDescent="0.2">
      <c r="A223" t="s">
        <v>421</v>
      </c>
      <c r="B223" t="s">
        <v>132</v>
      </c>
      <c r="C223">
        <v>11</v>
      </c>
      <c r="D223" t="s">
        <v>466</v>
      </c>
      <c r="E223">
        <v>10</v>
      </c>
      <c r="F223" t="s">
        <v>467</v>
      </c>
      <c r="G223">
        <v>11</v>
      </c>
    </row>
    <row r="224" spans="1:7" ht="15" customHeight="1" x14ac:dyDescent="0.2">
      <c r="A224" t="s">
        <v>421</v>
      </c>
      <c r="B224" t="s">
        <v>132</v>
      </c>
      <c r="C224">
        <v>12</v>
      </c>
      <c r="D224" t="s">
        <v>468</v>
      </c>
      <c r="E224">
        <v>8</v>
      </c>
      <c r="F224" t="s">
        <v>469</v>
      </c>
      <c r="G224">
        <v>12</v>
      </c>
    </row>
    <row r="225" spans="1:7" ht="15" customHeight="1" x14ac:dyDescent="0.2">
      <c r="A225" t="s">
        <v>421</v>
      </c>
      <c r="B225" t="s">
        <v>163</v>
      </c>
      <c r="C225">
        <v>1</v>
      </c>
      <c r="D225" t="s">
        <v>470</v>
      </c>
      <c r="E225">
        <v>4</v>
      </c>
      <c r="F225" t="s">
        <v>471</v>
      </c>
      <c r="G225">
        <v>1</v>
      </c>
    </row>
    <row r="226" spans="1:7" ht="15" customHeight="1" x14ac:dyDescent="0.2">
      <c r="A226" t="s">
        <v>421</v>
      </c>
      <c r="B226" t="s">
        <v>163</v>
      </c>
      <c r="C226">
        <v>2</v>
      </c>
      <c r="D226" t="s">
        <v>472</v>
      </c>
      <c r="E226">
        <v>11.5</v>
      </c>
      <c r="F226" t="s">
        <v>473</v>
      </c>
      <c r="G226">
        <v>2</v>
      </c>
    </row>
    <row r="227" spans="1:7" ht="15" customHeight="1" x14ac:dyDescent="0.2">
      <c r="A227" t="s">
        <v>421</v>
      </c>
      <c r="B227" t="s">
        <v>163</v>
      </c>
      <c r="C227">
        <v>3</v>
      </c>
      <c r="D227" t="s">
        <v>474</v>
      </c>
      <c r="E227">
        <v>6</v>
      </c>
      <c r="F227" t="s">
        <v>475</v>
      </c>
      <c r="G227">
        <v>3</v>
      </c>
    </row>
    <row r="228" spans="1:7" ht="15" customHeight="1" x14ac:dyDescent="0.2">
      <c r="A228" t="s">
        <v>421</v>
      </c>
      <c r="B228" t="s">
        <v>163</v>
      </c>
      <c r="C228">
        <v>4</v>
      </c>
      <c r="D228" t="s">
        <v>476</v>
      </c>
      <c r="E228">
        <v>10</v>
      </c>
      <c r="F228" t="s">
        <v>477</v>
      </c>
      <c r="G228">
        <v>4</v>
      </c>
    </row>
    <row r="229" spans="1:7" ht="15" customHeight="1" x14ac:dyDescent="0.2">
      <c r="A229" t="s">
        <v>421</v>
      </c>
      <c r="B229" t="s">
        <v>163</v>
      </c>
      <c r="C229">
        <v>5</v>
      </c>
      <c r="D229" t="s">
        <v>478</v>
      </c>
      <c r="E229">
        <v>12</v>
      </c>
      <c r="F229" t="s">
        <v>479</v>
      </c>
      <c r="G229">
        <v>5</v>
      </c>
    </row>
    <row r="230" spans="1:7" ht="15" customHeight="1" x14ac:dyDescent="0.2">
      <c r="A230" t="s">
        <v>421</v>
      </c>
      <c r="B230" t="s">
        <v>163</v>
      </c>
      <c r="C230">
        <v>6</v>
      </c>
      <c r="D230" t="s">
        <v>480</v>
      </c>
      <c r="E230">
        <v>8</v>
      </c>
      <c r="F230" t="s">
        <v>481</v>
      </c>
      <c r="G230">
        <v>6</v>
      </c>
    </row>
    <row r="231" spans="1:7" ht="15" customHeight="1" x14ac:dyDescent="0.2">
      <c r="A231" t="s">
        <v>421</v>
      </c>
      <c r="B231" t="s">
        <v>163</v>
      </c>
      <c r="C231">
        <v>7</v>
      </c>
      <c r="D231" t="s">
        <v>482</v>
      </c>
      <c r="E231">
        <v>12</v>
      </c>
      <c r="F231" t="s">
        <v>483</v>
      </c>
      <c r="G231">
        <v>7</v>
      </c>
    </row>
    <row r="232" spans="1:7" ht="15" customHeight="1" x14ac:dyDescent="0.2">
      <c r="A232" t="s">
        <v>421</v>
      </c>
      <c r="B232" t="s">
        <v>163</v>
      </c>
      <c r="C232">
        <v>8</v>
      </c>
      <c r="D232" t="s">
        <v>484</v>
      </c>
      <c r="E232">
        <v>9.5</v>
      </c>
      <c r="F232" t="s">
        <v>485</v>
      </c>
      <c r="G232">
        <v>8</v>
      </c>
    </row>
    <row r="233" spans="1:7" ht="15" customHeight="1" x14ac:dyDescent="0.2">
      <c r="A233" t="s">
        <v>421</v>
      </c>
      <c r="B233" t="s">
        <v>163</v>
      </c>
      <c r="C233">
        <v>9</v>
      </c>
      <c r="D233" t="s">
        <v>486</v>
      </c>
      <c r="E233">
        <v>11.5</v>
      </c>
      <c r="F233" t="s">
        <v>487</v>
      </c>
      <c r="G233">
        <v>9</v>
      </c>
    </row>
    <row r="234" spans="1:7" ht="15" customHeight="1" x14ac:dyDescent="0.2">
      <c r="A234" t="s">
        <v>421</v>
      </c>
      <c r="B234" t="s">
        <v>163</v>
      </c>
      <c r="C234">
        <v>10</v>
      </c>
      <c r="D234" t="s">
        <v>488</v>
      </c>
      <c r="E234">
        <v>10</v>
      </c>
      <c r="F234" t="s">
        <v>489</v>
      </c>
      <c r="G234">
        <v>10</v>
      </c>
    </row>
    <row r="235" spans="1:7" ht="15" customHeight="1" x14ac:dyDescent="0.2">
      <c r="A235" t="s">
        <v>421</v>
      </c>
      <c r="B235" t="s">
        <v>163</v>
      </c>
      <c r="C235">
        <v>11</v>
      </c>
      <c r="D235" t="s">
        <v>490</v>
      </c>
      <c r="E235">
        <v>10</v>
      </c>
      <c r="F235" t="s">
        <v>491</v>
      </c>
      <c r="G235">
        <v>11</v>
      </c>
    </row>
    <row r="236" spans="1:7" ht="15" customHeight="1" x14ac:dyDescent="0.2">
      <c r="A236" t="s">
        <v>421</v>
      </c>
      <c r="B236" t="s">
        <v>163</v>
      </c>
      <c r="C236">
        <v>12</v>
      </c>
      <c r="D236" t="s">
        <v>492</v>
      </c>
      <c r="E236">
        <v>8</v>
      </c>
      <c r="F236" t="s">
        <v>493</v>
      </c>
      <c r="G236">
        <v>12</v>
      </c>
    </row>
    <row r="237" spans="1:7" ht="15" customHeight="1" x14ac:dyDescent="0.2">
      <c r="A237" t="s">
        <v>421</v>
      </c>
      <c r="B237" t="s">
        <v>163</v>
      </c>
      <c r="C237">
        <v>13</v>
      </c>
      <c r="D237" t="s">
        <v>494</v>
      </c>
      <c r="E237">
        <v>8</v>
      </c>
      <c r="F237" t="s">
        <v>495</v>
      </c>
      <c r="G237">
        <v>13</v>
      </c>
    </row>
    <row r="238" spans="1:7" ht="15" customHeight="1" x14ac:dyDescent="0.2">
      <c r="A238" t="s">
        <v>421</v>
      </c>
      <c r="B238" t="s">
        <v>194</v>
      </c>
      <c r="C238">
        <v>1</v>
      </c>
      <c r="D238" t="s">
        <v>496</v>
      </c>
      <c r="E238">
        <v>4</v>
      </c>
      <c r="F238" t="s">
        <v>497</v>
      </c>
      <c r="G238">
        <v>1</v>
      </c>
    </row>
    <row r="239" spans="1:7" ht="15" customHeight="1" x14ac:dyDescent="0.2">
      <c r="A239" t="s">
        <v>421</v>
      </c>
      <c r="B239" t="s">
        <v>194</v>
      </c>
      <c r="C239">
        <v>2</v>
      </c>
      <c r="D239" t="s">
        <v>498</v>
      </c>
      <c r="E239">
        <v>10</v>
      </c>
      <c r="F239" t="s">
        <v>499</v>
      </c>
      <c r="G239">
        <v>2</v>
      </c>
    </row>
    <row r="240" spans="1:7" ht="15" customHeight="1" x14ac:dyDescent="0.2">
      <c r="A240" t="s">
        <v>421</v>
      </c>
      <c r="B240" t="s">
        <v>194</v>
      </c>
      <c r="C240">
        <v>3</v>
      </c>
      <c r="D240" t="s">
        <v>500</v>
      </c>
      <c r="E240">
        <v>10</v>
      </c>
      <c r="F240" t="s">
        <v>501</v>
      </c>
      <c r="G240">
        <v>3</v>
      </c>
    </row>
    <row r="241" spans="1:7" ht="15" customHeight="1" x14ac:dyDescent="0.2">
      <c r="A241" t="s">
        <v>421</v>
      </c>
      <c r="B241" t="s">
        <v>194</v>
      </c>
      <c r="C241">
        <v>4</v>
      </c>
      <c r="D241" t="s">
        <v>502</v>
      </c>
      <c r="E241">
        <v>14</v>
      </c>
      <c r="F241" t="s">
        <v>503</v>
      </c>
      <c r="G241">
        <v>4</v>
      </c>
    </row>
    <row r="242" spans="1:7" ht="15" customHeight="1" x14ac:dyDescent="0.2">
      <c r="A242" t="s">
        <v>421</v>
      </c>
      <c r="B242" t="s">
        <v>194</v>
      </c>
      <c r="C242">
        <v>5</v>
      </c>
      <c r="D242" t="s">
        <v>504</v>
      </c>
      <c r="E242">
        <v>12</v>
      </c>
      <c r="F242" t="s">
        <v>505</v>
      </c>
      <c r="G242">
        <v>5</v>
      </c>
    </row>
    <row r="243" spans="1:7" ht="15" customHeight="1" x14ac:dyDescent="0.2">
      <c r="A243" t="s">
        <v>421</v>
      </c>
      <c r="B243" t="s">
        <v>194</v>
      </c>
      <c r="C243">
        <v>6</v>
      </c>
      <c r="D243" t="s">
        <v>506</v>
      </c>
      <c r="E243">
        <v>13.5</v>
      </c>
      <c r="F243" t="s">
        <v>507</v>
      </c>
      <c r="G243">
        <v>6</v>
      </c>
    </row>
    <row r="244" spans="1:7" ht="15" customHeight="1" x14ac:dyDescent="0.2">
      <c r="A244" t="s">
        <v>421</v>
      </c>
      <c r="B244" t="s">
        <v>194</v>
      </c>
      <c r="C244">
        <v>7</v>
      </c>
      <c r="D244" t="s">
        <v>508</v>
      </c>
      <c r="E244">
        <v>14</v>
      </c>
      <c r="F244" t="s">
        <v>509</v>
      </c>
      <c r="G244">
        <v>7</v>
      </c>
    </row>
    <row r="245" spans="1:7" ht="15" customHeight="1" x14ac:dyDescent="0.2">
      <c r="A245" t="s">
        <v>421</v>
      </c>
      <c r="B245" t="s">
        <v>194</v>
      </c>
      <c r="C245">
        <v>8</v>
      </c>
      <c r="D245" t="s">
        <v>510</v>
      </c>
      <c r="E245">
        <v>8</v>
      </c>
      <c r="F245" t="s">
        <v>511</v>
      </c>
      <c r="G245">
        <v>8</v>
      </c>
    </row>
    <row r="246" spans="1:7" ht="15" customHeight="1" x14ac:dyDescent="0.2">
      <c r="A246" t="s">
        <v>421</v>
      </c>
      <c r="B246" t="s">
        <v>194</v>
      </c>
      <c r="C246">
        <v>9</v>
      </c>
      <c r="D246" t="s">
        <v>512</v>
      </c>
      <c r="E246">
        <v>14</v>
      </c>
      <c r="F246" t="s">
        <v>513</v>
      </c>
      <c r="G246">
        <v>9</v>
      </c>
    </row>
    <row r="247" spans="1:7" ht="15" customHeight="1" x14ac:dyDescent="0.2">
      <c r="A247" t="s">
        <v>421</v>
      </c>
      <c r="B247" t="s">
        <v>194</v>
      </c>
      <c r="C247">
        <v>10</v>
      </c>
      <c r="D247" t="s">
        <v>514</v>
      </c>
      <c r="E247">
        <v>11.5</v>
      </c>
      <c r="F247" t="s">
        <v>515</v>
      </c>
      <c r="G247">
        <v>10</v>
      </c>
    </row>
    <row r="248" spans="1:7" ht="15" customHeight="1" x14ac:dyDescent="0.2">
      <c r="A248" t="s">
        <v>421</v>
      </c>
      <c r="B248" t="s">
        <v>194</v>
      </c>
      <c r="C248">
        <v>11</v>
      </c>
      <c r="D248" t="s">
        <v>516</v>
      </c>
      <c r="E248">
        <v>10</v>
      </c>
      <c r="F248" t="s">
        <v>517</v>
      </c>
      <c r="G248">
        <v>11</v>
      </c>
    </row>
    <row r="249" spans="1:7" ht="15" customHeight="1" x14ac:dyDescent="0.2">
      <c r="A249" t="s">
        <v>421</v>
      </c>
      <c r="B249" t="s">
        <v>194</v>
      </c>
      <c r="C249">
        <v>12</v>
      </c>
      <c r="D249" t="s">
        <v>518</v>
      </c>
      <c r="E249">
        <v>10</v>
      </c>
      <c r="F249" t="s">
        <v>519</v>
      </c>
      <c r="G249">
        <v>12</v>
      </c>
    </row>
    <row r="250" spans="1:7" ht="15" customHeight="1" x14ac:dyDescent="0.2">
      <c r="A250" t="s">
        <v>421</v>
      </c>
      <c r="B250" t="s">
        <v>194</v>
      </c>
      <c r="C250">
        <v>13</v>
      </c>
      <c r="D250" t="s">
        <v>520</v>
      </c>
      <c r="E250">
        <v>6</v>
      </c>
      <c r="F250" t="s">
        <v>521</v>
      </c>
      <c r="G250">
        <v>13</v>
      </c>
    </row>
    <row r="251" spans="1:7" ht="15" customHeight="1" x14ac:dyDescent="0.2">
      <c r="A251" t="s">
        <v>522</v>
      </c>
      <c r="B251" t="s">
        <v>99</v>
      </c>
      <c r="C251">
        <v>1</v>
      </c>
      <c r="D251" t="s">
        <v>523</v>
      </c>
      <c r="E251">
        <v>5</v>
      </c>
      <c r="F251" t="s">
        <v>524</v>
      </c>
      <c r="G251">
        <v>1</v>
      </c>
    </row>
    <row r="252" spans="1:7" ht="15" customHeight="1" x14ac:dyDescent="0.2">
      <c r="A252" t="s">
        <v>522</v>
      </c>
      <c r="B252" t="s">
        <v>99</v>
      </c>
      <c r="C252">
        <v>2</v>
      </c>
      <c r="D252" t="s">
        <v>525</v>
      </c>
      <c r="E252">
        <v>8</v>
      </c>
      <c r="F252" t="s">
        <v>526</v>
      </c>
      <c r="G252">
        <v>2</v>
      </c>
    </row>
    <row r="253" spans="1:7" ht="15" customHeight="1" x14ac:dyDescent="0.2">
      <c r="A253" t="s">
        <v>522</v>
      </c>
      <c r="B253" t="s">
        <v>99</v>
      </c>
      <c r="C253">
        <v>3</v>
      </c>
      <c r="D253" t="s">
        <v>527</v>
      </c>
      <c r="E253">
        <v>9</v>
      </c>
      <c r="F253" t="s">
        <v>528</v>
      </c>
      <c r="G253">
        <v>3</v>
      </c>
    </row>
    <row r="254" spans="1:7" ht="15" customHeight="1" x14ac:dyDescent="0.2">
      <c r="A254" t="s">
        <v>522</v>
      </c>
      <c r="B254" t="s">
        <v>99</v>
      </c>
      <c r="C254">
        <v>4</v>
      </c>
      <c r="D254" t="s">
        <v>529</v>
      </c>
      <c r="E254">
        <v>8</v>
      </c>
      <c r="F254" t="s">
        <v>530</v>
      </c>
      <c r="G254">
        <v>4</v>
      </c>
    </row>
    <row r="255" spans="1:7" ht="15" customHeight="1" x14ac:dyDescent="0.2">
      <c r="A255" t="s">
        <v>522</v>
      </c>
      <c r="B255" t="s">
        <v>99</v>
      </c>
      <c r="C255">
        <v>5</v>
      </c>
      <c r="D255" t="s">
        <v>531</v>
      </c>
      <c r="E255">
        <v>7</v>
      </c>
      <c r="F255" t="s">
        <v>532</v>
      </c>
      <c r="G255">
        <v>5</v>
      </c>
    </row>
    <row r="256" spans="1:7" ht="15" customHeight="1" x14ac:dyDescent="0.2">
      <c r="A256" t="s">
        <v>522</v>
      </c>
      <c r="B256" t="s">
        <v>99</v>
      </c>
      <c r="C256">
        <v>6</v>
      </c>
      <c r="D256" t="s">
        <v>533</v>
      </c>
      <c r="E256">
        <v>13</v>
      </c>
      <c r="F256" t="s">
        <v>534</v>
      </c>
      <c r="G256">
        <v>6</v>
      </c>
    </row>
    <row r="257" spans="1:7" ht="15" customHeight="1" x14ac:dyDescent="0.2">
      <c r="A257" t="s">
        <v>522</v>
      </c>
      <c r="B257" t="s">
        <v>99</v>
      </c>
      <c r="C257">
        <v>7</v>
      </c>
      <c r="D257" t="s">
        <v>535</v>
      </c>
      <c r="E257">
        <v>12</v>
      </c>
      <c r="F257" t="s">
        <v>536</v>
      </c>
      <c r="G257">
        <v>7</v>
      </c>
    </row>
    <row r="258" spans="1:7" ht="15" customHeight="1" x14ac:dyDescent="0.2">
      <c r="A258" t="s">
        <v>522</v>
      </c>
      <c r="B258" t="s">
        <v>99</v>
      </c>
      <c r="C258">
        <v>8</v>
      </c>
      <c r="D258" t="s">
        <v>537</v>
      </c>
      <c r="E258">
        <v>7</v>
      </c>
      <c r="F258" t="s">
        <v>538</v>
      </c>
      <c r="G258">
        <v>8</v>
      </c>
    </row>
    <row r="259" spans="1:7" ht="15" customHeight="1" x14ac:dyDescent="0.2">
      <c r="A259" t="s">
        <v>522</v>
      </c>
      <c r="B259" t="s">
        <v>99</v>
      </c>
      <c r="C259">
        <v>9</v>
      </c>
      <c r="D259" t="s">
        <v>539</v>
      </c>
      <c r="E259">
        <v>8</v>
      </c>
      <c r="F259" t="s">
        <v>540</v>
      </c>
      <c r="G259">
        <v>9</v>
      </c>
    </row>
    <row r="260" spans="1:7" ht="15" customHeight="1" x14ac:dyDescent="0.2">
      <c r="A260" t="s">
        <v>522</v>
      </c>
      <c r="B260" t="s">
        <v>99</v>
      </c>
      <c r="C260">
        <v>10</v>
      </c>
      <c r="D260" t="s">
        <v>541</v>
      </c>
      <c r="E260">
        <v>8</v>
      </c>
      <c r="F260" t="s">
        <v>542</v>
      </c>
      <c r="G260">
        <v>10</v>
      </c>
    </row>
    <row r="261" spans="1:7" ht="15" customHeight="1" x14ac:dyDescent="0.2">
      <c r="A261" t="s">
        <v>522</v>
      </c>
      <c r="B261" t="s">
        <v>99</v>
      </c>
      <c r="C261">
        <v>11</v>
      </c>
      <c r="D261" t="s">
        <v>543</v>
      </c>
      <c r="E261">
        <v>10</v>
      </c>
      <c r="F261" t="s">
        <v>544</v>
      </c>
      <c r="G261">
        <v>11</v>
      </c>
    </row>
    <row r="262" spans="1:7" ht="15" customHeight="1" x14ac:dyDescent="0.2">
      <c r="A262" t="s">
        <v>522</v>
      </c>
      <c r="B262" t="s">
        <v>99</v>
      </c>
      <c r="C262">
        <v>12</v>
      </c>
      <c r="D262" t="s">
        <v>545</v>
      </c>
      <c r="E262">
        <v>7</v>
      </c>
      <c r="F262" t="s">
        <v>546</v>
      </c>
      <c r="G262">
        <v>12</v>
      </c>
    </row>
    <row r="263" spans="1:7" ht="15" customHeight="1" x14ac:dyDescent="0.2">
      <c r="A263" t="s">
        <v>522</v>
      </c>
      <c r="B263" t="s">
        <v>99</v>
      </c>
      <c r="C263">
        <v>13</v>
      </c>
      <c r="D263" t="s">
        <v>547</v>
      </c>
      <c r="E263">
        <v>6</v>
      </c>
      <c r="F263" t="s">
        <v>548</v>
      </c>
      <c r="G263">
        <v>13</v>
      </c>
    </row>
    <row r="264" spans="1:7" ht="15" customHeight="1" x14ac:dyDescent="0.2">
      <c r="A264" t="s">
        <v>522</v>
      </c>
      <c r="B264" t="s">
        <v>99</v>
      </c>
      <c r="C264">
        <v>14</v>
      </c>
      <c r="D264" t="s">
        <v>549</v>
      </c>
      <c r="E264">
        <v>5</v>
      </c>
      <c r="F264" t="s">
        <v>550</v>
      </c>
      <c r="G264">
        <v>14</v>
      </c>
    </row>
    <row r="265" spans="1:7" ht="15" customHeight="1" x14ac:dyDescent="0.2">
      <c r="A265" t="s">
        <v>522</v>
      </c>
      <c r="B265" t="s">
        <v>132</v>
      </c>
      <c r="C265">
        <v>1</v>
      </c>
      <c r="D265" t="s">
        <v>551</v>
      </c>
      <c r="E265">
        <v>8</v>
      </c>
      <c r="F265" t="s">
        <v>552</v>
      </c>
      <c r="G265">
        <v>1</v>
      </c>
    </row>
    <row r="266" spans="1:7" ht="15" customHeight="1" x14ac:dyDescent="0.2">
      <c r="A266" t="s">
        <v>522</v>
      </c>
      <c r="B266" t="s">
        <v>132</v>
      </c>
      <c r="C266">
        <v>2</v>
      </c>
      <c r="D266" t="s">
        <v>553</v>
      </c>
      <c r="E266">
        <v>4</v>
      </c>
      <c r="F266" t="s">
        <v>554</v>
      </c>
      <c r="G266">
        <v>2</v>
      </c>
    </row>
    <row r="267" spans="1:7" ht="15" customHeight="1" x14ac:dyDescent="0.2">
      <c r="A267" t="s">
        <v>522</v>
      </c>
      <c r="B267" t="s">
        <v>132</v>
      </c>
      <c r="C267">
        <v>3</v>
      </c>
      <c r="D267" t="s">
        <v>555</v>
      </c>
      <c r="E267">
        <v>9</v>
      </c>
      <c r="F267" t="s">
        <v>556</v>
      </c>
      <c r="G267">
        <v>3</v>
      </c>
    </row>
    <row r="268" spans="1:7" ht="15" customHeight="1" x14ac:dyDescent="0.2">
      <c r="A268" t="s">
        <v>522</v>
      </c>
      <c r="B268" t="s">
        <v>132</v>
      </c>
      <c r="C268">
        <v>4</v>
      </c>
      <c r="D268" t="s">
        <v>557</v>
      </c>
      <c r="E268">
        <v>8</v>
      </c>
      <c r="F268" t="s">
        <v>558</v>
      </c>
      <c r="G268">
        <v>4</v>
      </c>
    </row>
    <row r="269" spans="1:7" ht="15" customHeight="1" x14ac:dyDescent="0.2">
      <c r="A269" t="s">
        <v>522</v>
      </c>
      <c r="B269" t="s">
        <v>132</v>
      </c>
      <c r="C269">
        <v>5</v>
      </c>
      <c r="D269" t="s">
        <v>559</v>
      </c>
      <c r="E269">
        <v>8</v>
      </c>
      <c r="F269" t="s">
        <v>560</v>
      </c>
      <c r="G269">
        <v>5</v>
      </c>
    </row>
    <row r="270" spans="1:7" ht="15" customHeight="1" x14ac:dyDescent="0.2">
      <c r="A270" t="s">
        <v>522</v>
      </c>
      <c r="B270" t="s">
        <v>132</v>
      </c>
      <c r="C270">
        <v>6</v>
      </c>
      <c r="D270" t="s">
        <v>561</v>
      </c>
      <c r="E270">
        <v>8</v>
      </c>
      <c r="F270" t="s">
        <v>562</v>
      </c>
      <c r="G270">
        <v>6</v>
      </c>
    </row>
    <row r="271" spans="1:7" ht="15" customHeight="1" x14ac:dyDescent="0.2">
      <c r="A271" t="s">
        <v>522</v>
      </c>
      <c r="B271" t="s">
        <v>132</v>
      </c>
      <c r="C271">
        <v>7</v>
      </c>
      <c r="D271" t="s">
        <v>563</v>
      </c>
      <c r="E271">
        <v>8</v>
      </c>
      <c r="F271" t="s">
        <v>564</v>
      </c>
      <c r="G271">
        <v>7</v>
      </c>
    </row>
    <row r="272" spans="1:7" ht="15" customHeight="1" x14ac:dyDescent="0.2">
      <c r="A272" t="s">
        <v>522</v>
      </c>
      <c r="B272" t="s">
        <v>132</v>
      </c>
      <c r="C272">
        <v>8</v>
      </c>
      <c r="D272" t="s">
        <v>565</v>
      </c>
      <c r="E272">
        <v>7</v>
      </c>
      <c r="F272" t="s">
        <v>566</v>
      </c>
      <c r="G272">
        <v>8</v>
      </c>
    </row>
    <row r="273" spans="1:7" ht="15" customHeight="1" x14ac:dyDescent="0.2">
      <c r="A273" t="s">
        <v>522</v>
      </c>
      <c r="B273" t="s">
        <v>132</v>
      </c>
      <c r="C273">
        <v>9</v>
      </c>
      <c r="D273" t="s">
        <v>567</v>
      </c>
      <c r="E273">
        <v>9</v>
      </c>
      <c r="F273" t="s">
        <v>568</v>
      </c>
      <c r="G273">
        <v>9</v>
      </c>
    </row>
    <row r="274" spans="1:7" ht="15" customHeight="1" x14ac:dyDescent="0.2">
      <c r="A274" t="s">
        <v>522</v>
      </c>
      <c r="B274" t="s">
        <v>132</v>
      </c>
      <c r="C274">
        <v>10</v>
      </c>
      <c r="D274" t="s">
        <v>569</v>
      </c>
      <c r="E274">
        <v>8</v>
      </c>
      <c r="F274" t="s">
        <v>570</v>
      </c>
      <c r="G274">
        <v>10</v>
      </c>
    </row>
    <row r="275" spans="1:7" ht="15" customHeight="1" x14ac:dyDescent="0.2">
      <c r="A275" t="s">
        <v>522</v>
      </c>
      <c r="B275" t="s">
        <v>132</v>
      </c>
      <c r="C275">
        <v>11</v>
      </c>
      <c r="D275" t="s">
        <v>571</v>
      </c>
      <c r="E275">
        <v>6</v>
      </c>
      <c r="F275" t="s">
        <v>572</v>
      </c>
      <c r="G275">
        <v>11</v>
      </c>
    </row>
    <row r="276" spans="1:7" ht="15" customHeight="1" x14ac:dyDescent="0.2">
      <c r="A276" t="s">
        <v>522</v>
      </c>
      <c r="B276" t="s">
        <v>132</v>
      </c>
      <c r="C276">
        <v>12</v>
      </c>
      <c r="D276" t="s">
        <v>573</v>
      </c>
      <c r="E276">
        <v>8</v>
      </c>
      <c r="F276" t="s">
        <v>574</v>
      </c>
      <c r="G276">
        <v>12</v>
      </c>
    </row>
    <row r="277" spans="1:7" ht="15" customHeight="1" x14ac:dyDescent="0.2">
      <c r="A277" t="s">
        <v>522</v>
      </c>
      <c r="B277" t="s">
        <v>163</v>
      </c>
      <c r="C277">
        <v>1</v>
      </c>
      <c r="D277" t="s">
        <v>575</v>
      </c>
      <c r="E277">
        <v>8</v>
      </c>
      <c r="F277" t="s">
        <v>576</v>
      </c>
      <c r="G277">
        <v>1</v>
      </c>
    </row>
    <row r="278" spans="1:7" ht="15" customHeight="1" x14ac:dyDescent="0.2">
      <c r="A278" t="s">
        <v>522</v>
      </c>
      <c r="B278" t="s">
        <v>163</v>
      </c>
      <c r="C278">
        <v>2</v>
      </c>
      <c r="D278" t="s">
        <v>577</v>
      </c>
      <c r="E278">
        <v>11</v>
      </c>
      <c r="F278" t="s">
        <v>578</v>
      </c>
      <c r="G278">
        <v>2</v>
      </c>
    </row>
    <row r="279" spans="1:7" ht="15" customHeight="1" x14ac:dyDescent="0.2">
      <c r="A279" t="s">
        <v>522</v>
      </c>
      <c r="B279" t="s">
        <v>163</v>
      </c>
      <c r="C279">
        <v>3</v>
      </c>
      <c r="D279" t="s">
        <v>579</v>
      </c>
      <c r="E279">
        <v>12</v>
      </c>
      <c r="F279" t="s">
        <v>580</v>
      </c>
      <c r="G279">
        <v>3</v>
      </c>
    </row>
    <row r="280" spans="1:7" ht="15" customHeight="1" x14ac:dyDescent="0.2">
      <c r="A280" t="s">
        <v>522</v>
      </c>
      <c r="B280" t="s">
        <v>163</v>
      </c>
      <c r="C280">
        <v>4</v>
      </c>
      <c r="D280" t="s">
        <v>581</v>
      </c>
      <c r="E280">
        <v>14</v>
      </c>
      <c r="F280" t="s">
        <v>582</v>
      </c>
      <c r="G280">
        <v>4</v>
      </c>
    </row>
    <row r="281" spans="1:7" ht="15" customHeight="1" x14ac:dyDescent="0.2">
      <c r="A281" t="s">
        <v>522</v>
      </c>
      <c r="B281" t="s">
        <v>163</v>
      </c>
      <c r="C281">
        <v>5</v>
      </c>
      <c r="D281" t="s">
        <v>583</v>
      </c>
      <c r="E281">
        <v>9</v>
      </c>
      <c r="F281" t="s">
        <v>584</v>
      </c>
      <c r="G281">
        <v>5</v>
      </c>
    </row>
    <row r="282" spans="1:7" ht="15" customHeight="1" x14ac:dyDescent="0.2">
      <c r="A282" t="s">
        <v>522</v>
      </c>
      <c r="B282" t="s">
        <v>163</v>
      </c>
      <c r="C282">
        <v>6</v>
      </c>
      <c r="D282" t="s">
        <v>585</v>
      </c>
      <c r="E282">
        <v>9</v>
      </c>
      <c r="F282" t="s">
        <v>586</v>
      </c>
      <c r="G282">
        <v>6</v>
      </c>
    </row>
    <row r="283" spans="1:7" ht="15" customHeight="1" x14ac:dyDescent="0.2">
      <c r="A283" t="s">
        <v>522</v>
      </c>
      <c r="B283" t="s">
        <v>163</v>
      </c>
      <c r="C283">
        <v>7</v>
      </c>
      <c r="D283" t="s">
        <v>587</v>
      </c>
      <c r="E283">
        <v>9</v>
      </c>
      <c r="F283" t="s">
        <v>588</v>
      </c>
      <c r="G283">
        <v>7</v>
      </c>
    </row>
    <row r="284" spans="1:7" ht="15" customHeight="1" x14ac:dyDescent="0.2">
      <c r="A284" t="s">
        <v>522</v>
      </c>
      <c r="B284" t="s">
        <v>163</v>
      </c>
      <c r="C284">
        <v>8</v>
      </c>
      <c r="D284" t="s">
        <v>589</v>
      </c>
      <c r="E284">
        <v>10</v>
      </c>
      <c r="F284" t="s">
        <v>590</v>
      </c>
      <c r="G284">
        <v>8</v>
      </c>
    </row>
    <row r="285" spans="1:7" ht="15" customHeight="1" x14ac:dyDescent="0.2">
      <c r="A285" t="s">
        <v>522</v>
      </c>
      <c r="B285" t="s">
        <v>163</v>
      </c>
      <c r="C285">
        <v>9</v>
      </c>
      <c r="D285" t="s">
        <v>591</v>
      </c>
      <c r="E285">
        <v>13</v>
      </c>
      <c r="F285" t="s">
        <v>592</v>
      </c>
      <c r="G285">
        <v>9</v>
      </c>
    </row>
    <row r="286" spans="1:7" ht="15" customHeight="1" x14ac:dyDescent="0.2">
      <c r="A286" t="s">
        <v>522</v>
      </c>
      <c r="B286" t="s">
        <v>163</v>
      </c>
      <c r="C286">
        <v>10</v>
      </c>
      <c r="D286" t="s">
        <v>593</v>
      </c>
      <c r="E286">
        <v>9</v>
      </c>
      <c r="F286" t="s">
        <v>594</v>
      </c>
      <c r="G286">
        <v>10</v>
      </c>
    </row>
    <row r="287" spans="1:7" ht="15" customHeight="1" x14ac:dyDescent="0.2">
      <c r="A287" t="s">
        <v>522</v>
      </c>
      <c r="B287" t="s">
        <v>163</v>
      </c>
      <c r="C287">
        <v>11</v>
      </c>
      <c r="D287" t="s">
        <v>595</v>
      </c>
      <c r="E287">
        <v>11</v>
      </c>
      <c r="F287" t="s">
        <v>596</v>
      </c>
      <c r="G287">
        <v>11</v>
      </c>
    </row>
    <row r="288" spans="1:7" ht="15" customHeight="1" x14ac:dyDescent="0.2">
      <c r="A288" t="s">
        <v>522</v>
      </c>
      <c r="B288" t="s">
        <v>163</v>
      </c>
      <c r="C288">
        <v>12</v>
      </c>
      <c r="D288" t="s">
        <v>597</v>
      </c>
      <c r="E288">
        <v>10</v>
      </c>
      <c r="F288" t="s">
        <v>598</v>
      </c>
      <c r="G288">
        <v>12</v>
      </c>
    </row>
    <row r="289" spans="1:7" ht="15" customHeight="1" x14ac:dyDescent="0.2">
      <c r="A289" t="s">
        <v>522</v>
      </c>
      <c r="B289" t="s">
        <v>163</v>
      </c>
      <c r="C289">
        <v>13</v>
      </c>
      <c r="D289" t="s">
        <v>599</v>
      </c>
      <c r="E289">
        <v>8</v>
      </c>
      <c r="F289" t="s">
        <v>600</v>
      </c>
      <c r="G289">
        <v>13</v>
      </c>
    </row>
    <row r="290" spans="1:7" ht="15" customHeight="1" x14ac:dyDescent="0.2">
      <c r="A290" t="s">
        <v>522</v>
      </c>
      <c r="B290" t="s">
        <v>163</v>
      </c>
      <c r="C290">
        <v>14</v>
      </c>
      <c r="D290" t="s">
        <v>601</v>
      </c>
      <c r="E290">
        <v>11</v>
      </c>
      <c r="F290" t="s">
        <v>602</v>
      </c>
      <c r="G290">
        <v>14</v>
      </c>
    </row>
    <row r="291" spans="1:7" ht="15" customHeight="1" x14ac:dyDescent="0.2">
      <c r="A291" t="s">
        <v>522</v>
      </c>
      <c r="B291" t="s">
        <v>163</v>
      </c>
      <c r="C291">
        <v>15</v>
      </c>
      <c r="D291" t="s">
        <v>603</v>
      </c>
      <c r="E291">
        <v>13</v>
      </c>
      <c r="F291" t="s">
        <v>604</v>
      </c>
      <c r="G291">
        <v>15</v>
      </c>
    </row>
    <row r="292" spans="1:7" ht="15" customHeight="1" x14ac:dyDescent="0.2">
      <c r="A292" t="s">
        <v>522</v>
      </c>
      <c r="B292" t="s">
        <v>194</v>
      </c>
      <c r="C292">
        <v>1</v>
      </c>
      <c r="D292" t="s">
        <v>605</v>
      </c>
      <c r="E292">
        <v>13</v>
      </c>
      <c r="F292" t="s">
        <v>606</v>
      </c>
      <c r="G292">
        <v>1</v>
      </c>
    </row>
    <row r="293" spans="1:7" ht="15" customHeight="1" x14ac:dyDescent="0.2">
      <c r="A293" t="s">
        <v>522</v>
      </c>
      <c r="B293" t="s">
        <v>194</v>
      </c>
      <c r="C293">
        <v>2</v>
      </c>
      <c r="D293" t="s">
        <v>607</v>
      </c>
      <c r="E293">
        <v>10</v>
      </c>
      <c r="F293" t="s">
        <v>608</v>
      </c>
      <c r="G293">
        <v>2</v>
      </c>
    </row>
    <row r="294" spans="1:7" ht="15" customHeight="1" x14ac:dyDescent="0.2">
      <c r="A294" t="s">
        <v>522</v>
      </c>
      <c r="B294" t="s">
        <v>194</v>
      </c>
      <c r="C294">
        <v>3</v>
      </c>
      <c r="D294" t="s">
        <v>609</v>
      </c>
      <c r="E294">
        <v>11</v>
      </c>
      <c r="F294" t="s">
        <v>610</v>
      </c>
      <c r="G294">
        <v>3</v>
      </c>
    </row>
    <row r="295" spans="1:7" ht="15" customHeight="1" x14ac:dyDescent="0.2">
      <c r="A295" t="s">
        <v>522</v>
      </c>
      <c r="B295" t="s">
        <v>194</v>
      </c>
      <c r="C295">
        <v>4</v>
      </c>
      <c r="D295" t="s">
        <v>611</v>
      </c>
      <c r="E295">
        <v>17</v>
      </c>
      <c r="F295" t="s">
        <v>612</v>
      </c>
      <c r="G295">
        <v>4</v>
      </c>
    </row>
    <row r="296" spans="1:7" ht="15" customHeight="1" x14ac:dyDescent="0.2">
      <c r="A296" t="s">
        <v>522</v>
      </c>
      <c r="B296" t="s">
        <v>194</v>
      </c>
      <c r="C296">
        <v>5</v>
      </c>
      <c r="D296" t="s">
        <v>613</v>
      </c>
      <c r="E296">
        <v>19</v>
      </c>
      <c r="F296" t="s">
        <v>614</v>
      </c>
      <c r="G296">
        <v>5</v>
      </c>
    </row>
    <row r="297" spans="1:7" ht="15" customHeight="1" x14ac:dyDescent="0.2">
      <c r="A297" t="s">
        <v>522</v>
      </c>
      <c r="B297" t="s">
        <v>194</v>
      </c>
      <c r="C297">
        <v>6</v>
      </c>
      <c r="D297" t="s">
        <v>615</v>
      </c>
      <c r="E297">
        <v>17</v>
      </c>
      <c r="F297" t="s">
        <v>616</v>
      </c>
      <c r="G297">
        <v>6</v>
      </c>
    </row>
    <row r="298" spans="1:7" ht="15" customHeight="1" x14ac:dyDescent="0.2">
      <c r="A298" t="s">
        <v>522</v>
      </c>
      <c r="B298" t="s">
        <v>194</v>
      </c>
      <c r="C298">
        <v>7</v>
      </c>
      <c r="D298" t="s">
        <v>617</v>
      </c>
      <c r="E298">
        <v>8</v>
      </c>
      <c r="F298" t="s">
        <v>618</v>
      </c>
      <c r="G298">
        <v>7</v>
      </c>
    </row>
    <row r="299" spans="1:7" ht="15" customHeight="1" x14ac:dyDescent="0.2">
      <c r="A299" t="s">
        <v>522</v>
      </c>
      <c r="B299" t="s">
        <v>194</v>
      </c>
      <c r="C299">
        <v>8</v>
      </c>
      <c r="D299" t="s">
        <v>619</v>
      </c>
      <c r="E299">
        <v>6</v>
      </c>
      <c r="F299" t="s">
        <v>620</v>
      </c>
      <c r="G299">
        <v>8</v>
      </c>
    </row>
    <row r="300" spans="1:7" ht="15" customHeight="1" x14ac:dyDescent="0.2">
      <c r="A300" t="s">
        <v>522</v>
      </c>
      <c r="B300" t="s">
        <v>194</v>
      </c>
      <c r="C300">
        <v>9</v>
      </c>
      <c r="D300" t="s">
        <v>621</v>
      </c>
      <c r="E300">
        <v>6</v>
      </c>
      <c r="F300" t="s">
        <v>622</v>
      </c>
      <c r="G300">
        <v>9</v>
      </c>
    </row>
    <row r="301" spans="1:7" ht="15" customHeight="1" x14ac:dyDescent="0.2">
      <c r="A301" t="s">
        <v>522</v>
      </c>
      <c r="B301" t="s">
        <v>194</v>
      </c>
      <c r="C301">
        <v>10</v>
      </c>
      <c r="D301" t="s">
        <v>407</v>
      </c>
      <c r="E301">
        <v>12</v>
      </c>
      <c r="F301" t="s">
        <v>623</v>
      </c>
      <c r="G301">
        <v>10</v>
      </c>
    </row>
    <row r="302" spans="1:7" ht="15" customHeight="1" x14ac:dyDescent="0.2">
      <c r="A302" t="s">
        <v>522</v>
      </c>
      <c r="B302" t="s">
        <v>194</v>
      </c>
      <c r="C302">
        <v>11</v>
      </c>
      <c r="D302" t="s">
        <v>409</v>
      </c>
      <c r="E302">
        <v>12</v>
      </c>
      <c r="F302" t="s">
        <v>624</v>
      </c>
      <c r="G302">
        <v>11</v>
      </c>
    </row>
    <row r="303" spans="1:7" ht="15" customHeight="1" x14ac:dyDescent="0.2">
      <c r="A303" t="s">
        <v>522</v>
      </c>
      <c r="B303" t="s">
        <v>194</v>
      </c>
      <c r="C303">
        <v>12</v>
      </c>
      <c r="D303" t="s">
        <v>411</v>
      </c>
      <c r="E303">
        <v>12</v>
      </c>
      <c r="F303" t="s">
        <v>625</v>
      </c>
      <c r="G303">
        <v>12</v>
      </c>
    </row>
    <row r="304" spans="1:7" ht="15" customHeight="1" x14ac:dyDescent="0.2">
      <c r="A304" t="s">
        <v>522</v>
      </c>
      <c r="B304" t="s">
        <v>194</v>
      </c>
      <c r="C304">
        <v>13</v>
      </c>
      <c r="D304" t="s">
        <v>413</v>
      </c>
      <c r="E304">
        <v>12</v>
      </c>
      <c r="F304" t="s">
        <v>626</v>
      </c>
      <c r="G304">
        <v>13</v>
      </c>
    </row>
    <row r="305" spans="1:7" ht="15" customHeight="1" x14ac:dyDescent="0.2">
      <c r="A305" t="s">
        <v>522</v>
      </c>
      <c r="B305" t="s">
        <v>194</v>
      </c>
      <c r="C305">
        <v>14</v>
      </c>
      <c r="D305" t="s">
        <v>415</v>
      </c>
      <c r="E305">
        <v>12</v>
      </c>
      <c r="F305" t="s">
        <v>627</v>
      </c>
      <c r="G305">
        <v>14</v>
      </c>
    </row>
    <row r="306" spans="1:7" ht="15" customHeight="1" x14ac:dyDescent="0.2">
      <c r="A306" t="s">
        <v>522</v>
      </c>
      <c r="B306" t="s">
        <v>194</v>
      </c>
      <c r="C306">
        <v>15</v>
      </c>
      <c r="D306" t="s">
        <v>417</v>
      </c>
      <c r="E306">
        <v>12</v>
      </c>
      <c r="F306" t="s">
        <v>628</v>
      </c>
      <c r="G306">
        <v>15</v>
      </c>
    </row>
    <row r="307" spans="1:7" ht="15" customHeight="1" x14ac:dyDescent="0.2">
      <c r="A307" t="s">
        <v>522</v>
      </c>
      <c r="B307" t="s">
        <v>194</v>
      </c>
      <c r="C307">
        <v>16</v>
      </c>
      <c r="D307" t="s">
        <v>419</v>
      </c>
      <c r="E307">
        <v>12</v>
      </c>
      <c r="F307" t="s">
        <v>629</v>
      </c>
      <c r="G307">
        <v>16</v>
      </c>
    </row>
    <row r="308" spans="1:7" ht="15" customHeight="1" x14ac:dyDescent="0.2">
      <c r="A308" t="s">
        <v>522</v>
      </c>
      <c r="B308" t="s">
        <v>194</v>
      </c>
      <c r="C308">
        <v>17</v>
      </c>
      <c r="D308" t="s">
        <v>630</v>
      </c>
      <c r="E308">
        <v>12</v>
      </c>
      <c r="F308" t="s">
        <v>631</v>
      </c>
      <c r="G308">
        <v>17</v>
      </c>
    </row>
    <row r="309" spans="1:7" ht="15" customHeight="1" x14ac:dyDescent="0.2">
      <c r="A309" t="s">
        <v>522</v>
      </c>
      <c r="B309" t="s">
        <v>194</v>
      </c>
      <c r="C309">
        <v>18</v>
      </c>
      <c r="D309" t="s">
        <v>632</v>
      </c>
      <c r="E309">
        <v>12</v>
      </c>
      <c r="F309" t="s">
        <v>633</v>
      </c>
      <c r="G309">
        <v>18</v>
      </c>
    </row>
    <row r="310" spans="1:7" ht="15" customHeight="1" x14ac:dyDescent="0.2">
      <c r="A310" t="s">
        <v>634</v>
      </c>
      <c r="B310" t="s">
        <v>6</v>
      </c>
      <c r="C310">
        <v>1</v>
      </c>
      <c r="D310" t="s">
        <v>635</v>
      </c>
      <c r="E310">
        <v>6</v>
      </c>
      <c r="F310" t="s">
        <v>636</v>
      </c>
      <c r="G310">
        <v>1</v>
      </c>
    </row>
    <row r="311" spans="1:7" ht="15" customHeight="1" x14ac:dyDescent="0.2">
      <c r="A311" t="s">
        <v>634</v>
      </c>
      <c r="B311" t="s">
        <v>6</v>
      </c>
      <c r="C311">
        <v>2</v>
      </c>
      <c r="D311" t="s">
        <v>637</v>
      </c>
      <c r="E311">
        <v>6.5</v>
      </c>
      <c r="F311" t="s">
        <v>638</v>
      </c>
      <c r="G311">
        <v>2</v>
      </c>
    </row>
    <row r="312" spans="1:7" ht="15" customHeight="1" x14ac:dyDescent="0.2">
      <c r="A312" t="s">
        <v>634</v>
      </c>
      <c r="B312" t="s">
        <v>6</v>
      </c>
      <c r="C312">
        <v>3</v>
      </c>
      <c r="D312" t="s">
        <v>639</v>
      </c>
      <c r="E312">
        <v>6</v>
      </c>
      <c r="F312" t="s">
        <v>640</v>
      </c>
      <c r="G312">
        <v>3</v>
      </c>
    </row>
    <row r="313" spans="1:7" ht="15" customHeight="1" x14ac:dyDescent="0.2">
      <c r="A313" t="s">
        <v>634</v>
      </c>
      <c r="B313" t="s">
        <v>6</v>
      </c>
      <c r="C313">
        <v>4</v>
      </c>
      <c r="D313" t="s">
        <v>641</v>
      </c>
      <c r="E313">
        <v>7.5</v>
      </c>
      <c r="F313" t="s">
        <v>642</v>
      </c>
      <c r="G313">
        <v>4</v>
      </c>
    </row>
    <row r="314" spans="1:7" ht="15" customHeight="1" x14ac:dyDescent="0.2">
      <c r="A314" t="s">
        <v>634</v>
      </c>
      <c r="B314" t="s">
        <v>6</v>
      </c>
      <c r="C314">
        <v>5</v>
      </c>
      <c r="D314" t="s">
        <v>643</v>
      </c>
      <c r="E314">
        <v>6</v>
      </c>
      <c r="F314" t="s">
        <v>644</v>
      </c>
      <c r="G314">
        <v>5</v>
      </c>
    </row>
    <row r="315" spans="1:7" ht="15" customHeight="1" x14ac:dyDescent="0.2">
      <c r="A315" t="s">
        <v>634</v>
      </c>
      <c r="B315" t="s">
        <v>6</v>
      </c>
      <c r="C315">
        <v>6</v>
      </c>
      <c r="D315" t="s">
        <v>645</v>
      </c>
      <c r="E315">
        <v>9.5</v>
      </c>
      <c r="F315" t="s">
        <v>646</v>
      </c>
      <c r="G315">
        <v>6</v>
      </c>
    </row>
    <row r="316" spans="1:7" ht="15" customHeight="1" x14ac:dyDescent="0.2">
      <c r="A316" t="s">
        <v>634</v>
      </c>
      <c r="B316" t="s">
        <v>6</v>
      </c>
      <c r="C316">
        <v>7</v>
      </c>
      <c r="D316" t="s">
        <v>647</v>
      </c>
      <c r="E316">
        <v>7.5</v>
      </c>
      <c r="F316" t="s">
        <v>648</v>
      </c>
      <c r="G316">
        <v>7</v>
      </c>
    </row>
    <row r="317" spans="1:7" ht="15" customHeight="1" x14ac:dyDescent="0.2">
      <c r="A317" t="s">
        <v>634</v>
      </c>
      <c r="B317" t="s">
        <v>6</v>
      </c>
      <c r="C317">
        <v>8</v>
      </c>
      <c r="D317" t="s">
        <v>649</v>
      </c>
      <c r="E317">
        <v>4</v>
      </c>
      <c r="F317" t="s">
        <v>650</v>
      </c>
      <c r="G317">
        <v>8</v>
      </c>
    </row>
    <row r="318" spans="1:7" ht="15" customHeight="1" x14ac:dyDescent="0.2">
      <c r="A318" t="s">
        <v>634</v>
      </c>
      <c r="B318" t="s">
        <v>6</v>
      </c>
      <c r="C318">
        <v>9</v>
      </c>
      <c r="D318" t="s">
        <v>651</v>
      </c>
      <c r="E318">
        <v>3.5</v>
      </c>
      <c r="F318" t="s">
        <v>652</v>
      </c>
      <c r="G318">
        <v>9</v>
      </c>
    </row>
    <row r="319" spans="1:7" ht="15" customHeight="1" x14ac:dyDescent="0.2">
      <c r="A319" t="s">
        <v>634</v>
      </c>
      <c r="B319" t="s">
        <v>6</v>
      </c>
      <c r="C319">
        <v>10</v>
      </c>
      <c r="D319" t="s">
        <v>653</v>
      </c>
      <c r="E319">
        <v>6</v>
      </c>
      <c r="F319" t="s">
        <v>654</v>
      </c>
      <c r="G319">
        <v>10</v>
      </c>
    </row>
    <row r="320" spans="1:7" ht="15" customHeight="1" x14ac:dyDescent="0.2">
      <c r="A320" t="s">
        <v>634</v>
      </c>
      <c r="B320" t="s">
        <v>6</v>
      </c>
      <c r="C320">
        <v>11</v>
      </c>
      <c r="D320" t="s">
        <v>655</v>
      </c>
      <c r="E320">
        <v>9.5</v>
      </c>
      <c r="F320" t="s">
        <v>656</v>
      </c>
      <c r="G320">
        <v>11</v>
      </c>
    </row>
    <row r="321" spans="1:7" ht="15" customHeight="1" x14ac:dyDescent="0.2">
      <c r="A321" t="s">
        <v>634</v>
      </c>
      <c r="B321" t="s">
        <v>6</v>
      </c>
      <c r="C321">
        <v>12</v>
      </c>
      <c r="D321" t="s">
        <v>657</v>
      </c>
      <c r="E321">
        <v>9.5</v>
      </c>
      <c r="F321" t="s">
        <v>658</v>
      </c>
      <c r="G321">
        <v>12</v>
      </c>
    </row>
    <row r="322" spans="1:7" ht="15" customHeight="1" x14ac:dyDescent="0.2">
      <c r="A322" t="s">
        <v>634</v>
      </c>
      <c r="B322" t="s">
        <v>53</v>
      </c>
      <c r="C322">
        <v>1</v>
      </c>
      <c r="D322" t="s">
        <v>659</v>
      </c>
      <c r="E322">
        <v>6</v>
      </c>
      <c r="F322" t="s">
        <v>660</v>
      </c>
      <c r="G322">
        <v>1</v>
      </c>
    </row>
    <row r="323" spans="1:7" ht="15" customHeight="1" x14ac:dyDescent="0.2">
      <c r="A323" t="s">
        <v>634</v>
      </c>
      <c r="B323" t="s">
        <v>53</v>
      </c>
      <c r="C323">
        <v>2</v>
      </c>
      <c r="D323" t="s">
        <v>661</v>
      </c>
      <c r="E323">
        <v>10</v>
      </c>
      <c r="F323" t="s">
        <v>662</v>
      </c>
      <c r="G323">
        <v>2</v>
      </c>
    </row>
    <row r="324" spans="1:7" ht="15" customHeight="1" x14ac:dyDescent="0.2">
      <c r="A324" t="s">
        <v>634</v>
      </c>
      <c r="B324" t="s">
        <v>53</v>
      </c>
      <c r="C324">
        <v>3</v>
      </c>
      <c r="D324" t="s">
        <v>663</v>
      </c>
      <c r="E324">
        <v>9.5</v>
      </c>
      <c r="F324" t="s">
        <v>664</v>
      </c>
      <c r="G324">
        <v>3</v>
      </c>
    </row>
    <row r="325" spans="1:7" ht="15" customHeight="1" x14ac:dyDescent="0.2">
      <c r="A325" t="s">
        <v>634</v>
      </c>
      <c r="B325" t="s">
        <v>53</v>
      </c>
      <c r="C325">
        <v>4</v>
      </c>
      <c r="D325" t="s">
        <v>665</v>
      </c>
      <c r="E325">
        <v>7.5</v>
      </c>
      <c r="F325" t="s">
        <v>666</v>
      </c>
      <c r="G325">
        <v>4</v>
      </c>
    </row>
    <row r="326" spans="1:7" ht="15" customHeight="1" x14ac:dyDescent="0.2">
      <c r="A326" t="s">
        <v>634</v>
      </c>
      <c r="B326" t="s">
        <v>53</v>
      </c>
      <c r="C326">
        <v>5</v>
      </c>
      <c r="D326" t="s">
        <v>667</v>
      </c>
      <c r="E326">
        <v>7.5</v>
      </c>
      <c r="F326" t="s">
        <v>668</v>
      </c>
      <c r="G326">
        <v>5</v>
      </c>
    </row>
    <row r="327" spans="1:7" ht="15" customHeight="1" x14ac:dyDescent="0.2">
      <c r="A327" t="s">
        <v>634</v>
      </c>
      <c r="B327" t="s">
        <v>53</v>
      </c>
      <c r="C327">
        <v>6</v>
      </c>
      <c r="D327" t="s">
        <v>669</v>
      </c>
      <c r="E327">
        <v>11</v>
      </c>
      <c r="F327" t="s">
        <v>670</v>
      </c>
      <c r="G327">
        <v>6</v>
      </c>
    </row>
    <row r="328" spans="1:7" ht="15" customHeight="1" x14ac:dyDescent="0.2">
      <c r="A328" t="s">
        <v>634</v>
      </c>
      <c r="B328" t="s">
        <v>53</v>
      </c>
      <c r="C328">
        <v>7</v>
      </c>
      <c r="D328" t="s">
        <v>671</v>
      </c>
      <c r="E328">
        <v>7.5</v>
      </c>
      <c r="F328" t="s">
        <v>672</v>
      </c>
      <c r="G328">
        <v>7</v>
      </c>
    </row>
    <row r="329" spans="1:7" ht="15" customHeight="1" x14ac:dyDescent="0.2">
      <c r="A329" t="s">
        <v>634</v>
      </c>
      <c r="B329" t="s">
        <v>53</v>
      </c>
      <c r="C329">
        <v>8</v>
      </c>
      <c r="D329" t="s">
        <v>673</v>
      </c>
      <c r="E329">
        <v>7.5</v>
      </c>
      <c r="F329" t="s">
        <v>674</v>
      </c>
      <c r="G329">
        <v>8</v>
      </c>
    </row>
    <row r="330" spans="1:7" ht="15" customHeight="1" x14ac:dyDescent="0.2">
      <c r="A330" t="s">
        <v>634</v>
      </c>
      <c r="B330" t="s">
        <v>53</v>
      </c>
      <c r="C330">
        <v>9</v>
      </c>
      <c r="D330" t="s">
        <v>675</v>
      </c>
      <c r="E330">
        <v>9.5</v>
      </c>
      <c r="F330" t="s">
        <v>676</v>
      </c>
      <c r="G330">
        <v>9</v>
      </c>
    </row>
    <row r="331" spans="1:7" ht="15" customHeight="1" x14ac:dyDescent="0.2">
      <c r="A331" t="s">
        <v>634</v>
      </c>
      <c r="B331" t="s">
        <v>53</v>
      </c>
      <c r="C331">
        <v>10</v>
      </c>
      <c r="D331" t="s">
        <v>677</v>
      </c>
      <c r="E331">
        <v>6</v>
      </c>
      <c r="F331" t="s">
        <v>678</v>
      </c>
      <c r="G331">
        <v>10</v>
      </c>
    </row>
    <row r="332" spans="1:7" ht="15" customHeight="1" x14ac:dyDescent="0.2">
      <c r="A332" t="s">
        <v>634</v>
      </c>
      <c r="B332" t="s">
        <v>78</v>
      </c>
      <c r="C332">
        <v>1</v>
      </c>
      <c r="D332" t="s">
        <v>679</v>
      </c>
      <c r="E332">
        <v>10.5</v>
      </c>
      <c r="F332" t="s">
        <v>680</v>
      </c>
      <c r="G332">
        <v>1</v>
      </c>
    </row>
    <row r="333" spans="1:7" ht="15" customHeight="1" x14ac:dyDescent="0.2">
      <c r="A333" t="s">
        <v>634</v>
      </c>
      <c r="B333" t="s">
        <v>78</v>
      </c>
      <c r="C333">
        <v>2</v>
      </c>
      <c r="D333" t="s">
        <v>681</v>
      </c>
      <c r="E333">
        <v>12.5</v>
      </c>
      <c r="F333" t="s">
        <v>682</v>
      </c>
      <c r="G333">
        <v>2</v>
      </c>
    </row>
    <row r="334" spans="1:7" ht="15" customHeight="1" x14ac:dyDescent="0.2">
      <c r="A334" t="s">
        <v>634</v>
      </c>
      <c r="B334" t="s">
        <v>78</v>
      </c>
      <c r="C334">
        <v>3</v>
      </c>
      <c r="D334" t="s">
        <v>683</v>
      </c>
      <c r="E334">
        <v>6</v>
      </c>
      <c r="F334" t="s">
        <v>684</v>
      </c>
      <c r="G334">
        <v>3</v>
      </c>
    </row>
    <row r="335" spans="1:7" ht="15" customHeight="1" x14ac:dyDescent="0.2">
      <c r="A335" t="s">
        <v>634</v>
      </c>
      <c r="B335" t="s">
        <v>78</v>
      </c>
      <c r="C335">
        <v>4</v>
      </c>
      <c r="D335" t="s">
        <v>685</v>
      </c>
      <c r="E335">
        <v>12.5</v>
      </c>
      <c r="F335" t="s">
        <v>686</v>
      </c>
      <c r="G335">
        <v>4</v>
      </c>
    </row>
    <row r="336" spans="1:7" ht="15" customHeight="1" x14ac:dyDescent="0.2">
      <c r="A336" t="s">
        <v>634</v>
      </c>
      <c r="B336" t="s">
        <v>78</v>
      </c>
      <c r="C336">
        <v>5</v>
      </c>
      <c r="D336" t="s">
        <v>687</v>
      </c>
      <c r="E336">
        <v>12</v>
      </c>
      <c r="F336" t="s">
        <v>688</v>
      </c>
      <c r="G336">
        <v>5</v>
      </c>
    </row>
    <row r="337" spans="1:7" ht="15" customHeight="1" x14ac:dyDescent="0.2">
      <c r="A337" t="s">
        <v>634</v>
      </c>
      <c r="B337" t="s">
        <v>78</v>
      </c>
      <c r="C337">
        <v>6</v>
      </c>
      <c r="D337" t="s">
        <v>689</v>
      </c>
      <c r="E337">
        <v>14.5</v>
      </c>
      <c r="F337" t="s">
        <v>690</v>
      </c>
      <c r="G337">
        <v>6</v>
      </c>
    </row>
    <row r="338" spans="1:7" ht="15" customHeight="1" x14ac:dyDescent="0.2">
      <c r="A338" t="s">
        <v>634</v>
      </c>
      <c r="B338" t="s">
        <v>78</v>
      </c>
      <c r="C338">
        <v>7</v>
      </c>
      <c r="D338" t="s">
        <v>691</v>
      </c>
      <c r="E338">
        <v>9.5</v>
      </c>
      <c r="F338" t="s">
        <v>692</v>
      </c>
      <c r="G338">
        <v>7</v>
      </c>
    </row>
    <row r="339" spans="1:7" ht="15" customHeight="1" x14ac:dyDescent="0.2">
      <c r="A339" t="s">
        <v>634</v>
      </c>
      <c r="B339" t="s">
        <v>78</v>
      </c>
      <c r="C339">
        <v>8</v>
      </c>
      <c r="D339" t="s">
        <v>693</v>
      </c>
      <c r="E339">
        <v>7.5</v>
      </c>
      <c r="F339" t="s">
        <v>694</v>
      </c>
      <c r="G339">
        <v>8</v>
      </c>
    </row>
    <row r="340" spans="1:7" ht="15" customHeight="1" x14ac:dyDescent="0.2">
      <c r="A340" t="s">
        <v>634</v>
      </c>
      <c r="B340" t="s">
        <v>78</v>
      </c>
      <c r="C340">
        <v>9</v>
      </c>
      <c r="D340" t="s">
        <v>695</v>
      </c>
      <c r="E340">
        <v>9.5</v>
      </c>
      <c r="F340" t="s">
        <v>696</v>
      </c>
      <c r="G340">
        <v>9</v>
      </c>
    </row>
    <row r="341" spans="1:7" ht="15" customHeight="1" x14ac:dyDescent="0.2">
      <c r="A341" t="s">
        <v>634</v>
      </c>
      <c r="B341" t="s">
        <v>78</v>
      </c>
      <c r="C341">
        <v>10</v>
      </c>
      <c r="D341" t="s">
        <v>697</v>
      </c>
      <c r="E341">
        <v>12.5</v>
      </c>
      <c r="F341" t="s">
        <v>698</v>
      </c>
      <c r="G341"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6"/>
  <sheetViews>
    <sheetView showGridLines="0" zoomScaleNormal="100" workbookViewId="0">
      <selection activeCell="B50" sqref="B50"/>
    </sheetView>
  </sheetViews>
  <sheetFormatPr baseColWidth="10" defaultColWidth="10.83203125" defaultRowHeight="15" x14ac:dyDescent="0.2"/>
  <cols>
    <col min="1" max="1" width="15.33203125" customWidth="1"/>
    <col min="2" max="2" width="10.83203125" style="16" customWidth="1"/>
    <col min="3" max="3" width="12.1640625" customWidth="1"/>
  </cols>
  <sheetData>
    <row r="1" spans="1:3" ht="15" customHeight="1" x14ac:dyDescent="0.2">
      <c r="A1" s="17" t="s">
        <v>2</v>
      </c>
      <c r="B1" s="18" t="s">
        <v>5</v>
      </c>
      <c r="C1" s="17" t="s">
        <v>8</v>
      </c>
    </row>
    <row r="2" spans="1:3" ht="15" customHeight="1" x14ac:dyDescent="0.2">
      <c r="A2" s="19" t="s">
        <v>3</v>
      </c>
      <c r="B2" s="20" t="s">
        <v>194</v>
      </c>
      <c r="C2" s="21">
        <v>160</v>
      </c>
    </row>
    <row r="3" spans="1:3" ht="15" customHeight="1" x14ac:dyDescent="0.2">
      <c r="A3" s="19" t="s">
        <v>227</v>
      </c>
      <c r="B3" s="20" t="s">
        <v>194</v>
      </c>
      <c r="C3" s="21">
        <v>210</v>
      </c>
    </row>
    <row r="4" spans="1:3" ht="15" customHeight="1" x14ac:dyDescent="0.2">
      <c r="A4" s="19" t="s">
        <v>421</v>
      </c>
      <c r="B4" s="20" t="s">
        <v>194</v>
      </c>
      <c r="C4" s="21">
        <v>210</v>
      </c>
    </row>
    <row r="5" spans="1:3" ht="15" customHeight="1" x14ac:dyDescent="0.2">
      <c r="A5" s="19" t="s">
        <v>634</v>
      </c>
      <c r="B5" s="20" t="s">
        <v>194</v>
      </c>
      <c r="C5" s="21"/>
    </row>
    <row r="6" spans="1:3" ht="27.75" customHeight="1" x14ac:dyDescent="0.2">
      <c r="A6" s="19" t="s">
        <v>522</v>
      </c>
      <c r="B6" s="20" t="s">
        <v>194</v>
      </c>
      <c r="C6" s="21">
        <v>245</v>
      </c>
    </row>
    <row r="7" spans="1:3" ht="15" customHeight="1" x14ac:dyDescent="0.2">
      <c r="A7" s="19" t="s">
        <v>3</v>
      </c>
      <c r="B7" s="20" t="s">
        <v>99</v>
      </c>
      <c r="C7" s="21">
        <v>140</v>
      </c>
    </row>
    <row r="8" spans="1:3" ht="15" customHeight="1" x14ac:dyDescent="0.2">
      <c r="A8" s="19" t="s">
        <v>227</v>
      </c>
      <c r="B8" s="20" t="s">
        <v>99</v>
      </c>
      <c r="C8" s="21">
        <v>180</v>
      </c>
    </row>
    <row r="9" spans="1:3" ht="15" customHeight="1" x14ac:dyDescent="0.2">
      <c r="A9" s="19" t="s">
        <v>421</v>
      </c>
      <c r="B9" s="20" t="s">
        <v>99</v>
      </c>
      <c r="C9" s="21">
        <v>180</v>
      </c>
    </row>
    <row r="10" spans="1:3" ht="15" customHeight="1" x14ac:dyDescent="0.2">
      <c r="A10" s="19" t="s">
        <v>634</v>
      </c>
      <c r="B10" s="20" t="s">
        <v>99</v>
      </c>
      <c r="C10" s="21"/>
    </row>
    <row r="11" spans="1:3" ht="27.75" customHeight="1" x14ac:dyDescent="0.2">
      <c r="A11" s="19" t="s">
        <v>522</v>
      </c>
      <c r="B11" s="20" t="s">
        <v>99</v>
      </c>
      <c r="C11" s="21">
        <v>210</v>
      </c>
    </row>
    <row r="12" spans="1:3" ht="15" customHeight="1" x14ac:dyDescent="0.2">
      <c r="A12" s="19" t="s">
        <v>3</v>
      </c>
      <c r="B12" s="20" t="s">
        <v>6</v>
      </c>
      <c r="C12" s="21">
        <v>140</v>
      </c>
    </row>
    <row r="13" spans="1:3" ht="15" customHeight="1" x14ac:dyDescent="0.2">
      <c r="A13" s="19" t="s">
        <v>227</v>
      </c>
      <c r="B13" s="20" t="s">
        <v>6</v>
      </c>
      <c r="C13" s="21">
        <v>160</v>
      </c>
    </row>
    <row r="14" spans="1:3" ht="15" customHeight="1" x14ac:dyDescent="0.2">
      <c r="A14" s="19" t="s">
        <v>421</v>
      </c>
      <c r="B14" s="20" t="s">
        <v>6</v>
      </c>
      <c r="C14" s="21"/>
    </row>
    <row r="15" spans="1:3" ht="15" customHeight="1" x14ac:dyDescent="0.2">
      <c r="A15" s="19" t="s">
        <v>634</v>
      </c>
      <c r="B15" s="20" t="s">
        <v>6</v>
      </c>
      <c r="C15" s="21">
        <v>140</v>
      </c>
    </row>
    <row r="16" spans="1:3" ht="27.75" customHeight="1" x14ac:dyDescent="0.2">
      <c r="A16" s="19" t="s">
        <v>522</v>
      </c>
      <c r="B16" s="20" t="s">
        <v>6</v>
      </c>
      <c r="C16" s="21"/>
    </row>
    <row r="17" spans="1:3" ht="15.75" customHeight="1" x14ac:dyDescent="0.2">
      <c r="A17" s="19" t="s">
        <v>3</v>
      </c>
      <c r="B17" s="22" t="s">
        <v>699</v>
      </c>
      <c r="C17" s="21">
        <v>160</v>
      </c>
    </row>
    <row r="18" spans="1:3" ht="15.75" customHeight="1" x14ac:dyDescent="0.2">
      <c r="A18" s="19" t="s">
        <v>227</v>
      </c>
      <c r="B18" s="22" t="s">
        <v>699</v>
      </c>
      <c r="C18" s="21">
        <v>210</v>
      </c>
    </row>
    <row r="19" spans="1:3" ht="15.75" customHeight="1" x14ac:dyDescent="0.2">
      <c r="A19" s="19" t="s">
        <v>421</v>
      </c>
      <c r="B19" s="22" t="s">
        <v>699</v>
      </c>
      <c r="C19" s="21">
        <v>210</v>
      </c>
    </row>
    <row r="20" spans="1:3" ht="15.75" customHeight="1" x14ac:dyDescent="0.2">
      <c r="A20" s="19" t="s">
        <v>634</v>
      </c>
      <c r="B20" s="22" t="s">
        <v>699</v>
      </c>
      <c r="C20" s="21"/>
    </row>
    <row r="21" spans="1:3" ht="27.75" customHeight="1" x14ac:dyDescent="0.2">
      <c r="A21" s="19" t="s">
        <v>522</v>
      </c>
      <c r="B21" s="22" t="s">
        <v>699</v>
      </c>
      <c r="C21" s="21">
        <v>245</v>
      </c>
    </row>
    <row r="22" spans="1:3" ht="15.75" customHeight="1" x14ac:dyDescent="0.2">
      <c r="A22" s="19" t="s">
        <v>3</v>
      </c>
      <c r="B22" s="22" t="s">
        <v>132</v>
      </c>
      <c r="C22" s="21">
        <v>140</v>
      </c>
    </row>
    <row r="23" spans="1:3" ht="15.75" customHeight="1" x14ac:dyDescent="0.2">
      <c r="A23" s="19" t="s">
        <v>227</v>
      </c>
      <c r="B23" s="22" t="s">
        <v>132</v>
      </c>
      <c r="C23" s="21">
        <v>180</v>
      </c>
    </row>
    <row r="24" spans="1:3" ht="15.75" customHeight="1" x14ac:dyDescent="0.2">
      <c r="A24" s="19" t="s">
        <v>421</v>
      </c>
      <c r="B24" s="22" t="s">
        <v>132</v>
      </c>
      <c r="C24" s="21">
        <v>180</v>
      </c>
    </row>
    <row r="25" spans="1:3" ht="15.75" customHeight="1" x14ac:dyDescent="0.2">
      <c r="A25" s="19" t="s">
        <v>634</v>
      </c>
      <c r="B25" s="22" t="s">
        <v>132</v>
      </c>
      <c r="C25" s="21"/>
    </row>
    <row r="26" spans="1:3" ht="27.75" customHeight="1" x14ac:dyDescent="0.2">
      <c r="A26" s="19" t="s">
        <v>522</v>
      </c>
      <c r="B26" s="22" t="s">
        <v>132</v>
      </c>
      <c r="C26" s="21">
        <v>210</v>
      </c>
    </row>
    <row r="27" spans="1:3" ht="15.75" customHeight="1" x14ac:dyDescent="0.2">
      <c r="A27" s="19" t="s">
        <v>3</v>
      </c>
      <c r="B27" s="22" t="s">
        <v>53</v>
      </c>
      <c r="C27" s="21">
        <v>140</v>
      </c>
    </row>
    <row r="28" spans="1:3" ht="15.75" customHeight="1" x14ac:dyDescent="0.2">
      <c r="A28" s="19" t="s">
        <v>227</v>
      </c>
      <c r="B28" s="22" t="s">
        <v>53</v>
      </c>
      <c r="C28" s="21">
        <v>160</v>
      </c>
    </row>
    <row r="29" spans="1:3" ht="15.75" customHeight="1" x14ac:dyDescent="0.2">
      <c r="A29" s="19" t="s">
        <v>421</v>
      </c>
      <c r="B29" s="22" t="s">
        <v>53</v>
      </c>
      <c r="C29" s="21"/>
    </row>
    <row r="30" spans="1:3" ht="15.75" customHeight="1" x14ac:dyDescent="0.2">
      <c r="A30" s="19" t="s">
        <v>634</v>
      </c>
      <c r="B30" s="22" t="s">
        <v>53</v>
      </c>
      <c r="C30" s="21">
        <v>140</v>
      </c>
    </row>
    <row r="31" spans="1:3" ht="27.75" customHeight="1" x14ac:dyDescent="0.2">
      <c r="A31" s="19" t="s">
        <v>522</v>
      </c>
      <c r="B31" s="22" t="s">
        <v>53</v>
      </c>
      <c r="C31" s="21"/>
    </row>
    <row r="32" spans="1:3" ht="15.75" customHeight="1" x14ac:dyDescent="0.2">
      <c r="A32" s="19" t="s">
        <v>3</v>
      </c>
      <c r="B32" s="22" t="s">
        <v>78</v>
      </c>
      <c r="C32" s="21">
        <v>140</v>
      </c>
    </row>
    <row r="33" spans="1:3" ht="15.75" customHeight="1" x14ac:dyDescent="0.2">
      <c r="A33" s="19" t="s">
        <v>227</v>
      </c>
      <c r="B33" s="22" t="s">
        <v>78</v>
      </c>
      <c r="C33" s="21">
        <v>160</v>
      </c>
    </row>
    <row r="34" spans="1:3" ht="15.75" customHeight="1" x14ac:dyDescent="0.2">
      <c r="A34" s="19" t="s">
        <v>421</v>
      </c>
      <c r="B34" s="22" t="s">
        <v>78</v>
      </c>
      <c r="C34" s="21"/>
    </row>
    <row r="35" spans="1:3" ht="15.75" customHeight="1" x14ac:dyDescent="0.2">
      <c r="A35" s="19" t="s">
        <v>634</v>
      </c>
      <c r="B35" s="22" t="s">
        <v>78</v>
      </c>
      <c r="C35" s="21">
        <v>140</v>
      </c>
    </row>
    <row r="36" spans="1:3" ht="27.75" customHeight="1" x14ac:dyDescent="0.2">
      <c r="A36" s="19" t="s">
        <v>522</v>
      </c>
      <c r="B36" s="22" t="s">
        <v>78</v>
      </c>
      <c r="C36" s="21"/>
    </row>
    <row r="37" spans="1:3" ht="15.75" customHeight="1" x14ac:dyDescent="0.2">
      <c r="A37" s="23" t="s">
        <v>3</v>
      </c>
      <c r="B37" s="20" t="s">
        <v>163</v>
      </c>
      <c r="C37" s="21">
        <v>140</v>
      </c>
    </row>
    <row r="38" spans="1:3" ht="15.75" customHeight="1" x14ac:dyDescent="0.2">
      <c r="A38" s="19" t="s">
        <v>227</v>
      </c>
      <c r="B38" s="20" t="s">
        <v>163</v>
      </c>
      <c r="C38" s="21">
        <v>180</v>
      </c>
    </row>
    <row r="39" spans="1:3" ht="15.75" customHeight="1" x14ac:dyDescent="0.2">
      <c r="A39" s="23" t="s">
        <v>421</v>
      </c>
      <c r="B39" s="20" t="s">
        <v>163</v>
      </c>
      <c r="C39" s="21">
        <v>180</v>
      </c>
    </row>
    <row r="40" spans="1:3" ht="15.75" customHeight="1" x14ac:dyDescent="0.2">
      <c r="A40" s="19" t="s">
        <v>634</v>
      </c>
      <c r="B40" s="20" t="s">
        <v>163</v>
      </c>
      <c r="C40" s="21"/>
    </row>
    <row r="41" spans="1:3" ht="27.75" customHeight="1" x14ac:dyDescent="0.2">
      <c r="A41" s="23" t="s">
        <v>522</v>
      </c>
      <c r="B41" s="20" t="s">
        <v>163</v>
      </c>
      <c r="C41" s="21">
        <v>210</v>
      </c>
    </row>
    <row r="42" spans="1:3" ht="24" customHeight="1" x14ac:dyDescent="0.2"/>
    <row r="43" spans="1:3" ht="24" customHeight="1" x14ac:dyDescent="0.2"/>
    <row r="44" spans="1:3" ht="24" customHeight="1" x14ac:dyDescent="0.2"/>
    <row r="45" spans="1:3" ht="24" customHeight="1" x14ac:dyDescent="0.2"/>
    <row r="46" spans="1:3" ht="24" customHeight="1" x14ac:dyDescent="0.2"/>
  </sheetData>
  <autoFilter ref="A1:C46" xr:uid="{00000000-0009-0000-0000-000002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Chapters</vt:lpstr>
      <vt:lpstr>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kumar radhakrishnan</cp:lastModifiedBy>
  <cp:revision>0</cp:revision>
  <dcterms:created xsi:type="dcterms:W3CDTF">2026-07-08T16:04:49Z</dcterms:created>
  <dcterms:modified xsi:type="dcterms:W3CDTF">2026-08-12T04:08:42Z</dcterms:modified>
  <dc:language>en-US</dc:language>
</cp:coreProperties>
</file>