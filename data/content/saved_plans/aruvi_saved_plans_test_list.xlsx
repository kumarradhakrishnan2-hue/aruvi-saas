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30"/>
  <workbookPr/>
  <mc:AlternateContent xmlns:mc="http://schemas.openxmlformats.org/markup-compatibility/2006">
    <mc:Choice Requires="x15">
      <x15ac:absPath xmlns:x15ac="http://schemas.microsoft.com/office/spreadsheetml/2010/11/ac" url="/Users/kumar_radhakrishnan/main/kumar/AI/aruvi-saas/data/content/saved_plans/"/>
    </mc:Choice>
  </mc:AlternateContent>
  <xr:revisionPtr revIDLastSave="0" documentId="13_ncr:1_{74844E6B-191C-1A40-AACF-A07CCDAF141F}" xr6:coauthVersionLast="47" xr6:coauthVersionMax="47" xr10:uidLastSave="{00000000-0000-0000-0000-000000000000}"/>
  <bookViews>
    <workbookView xWindow="0" yWindow="600" windowWidth="16380" windowHeight="16140" tabRatio="500" xr2:uid="{00000000-000D-0000-FFFF-FFFF00000000}"/>
  </bookViews>
  <sheets>
    <sheet name="Saved Plans" sheetId="1" r:id="rId1"/>
  </sheets>
  <definedNames>
    <definedName name="_xlnm._FilterDatabase" localSheetId="0" hidden="1">'Saved Plans'!$A$1:$E$34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J14" i="1" l="1"/>
  <c r="L14" i="1"/>
  <c r="L26" i="1"/>
  <c r="L15" i="1"/>
  <c r="K14" i="1"/>
  <c r="L16" i="1"/>
  <c r="H15" i="1"/>
  <c r="H16" i="1"/>
  <c r="J15" i="1"/>
  <c r="K16" i="1"/>
  <c r="J16" i="1"/>
  <c r="I15" i="1"/>
  <c r="I16" i="1"/>
  <c r="K15" i="1"/>
  <c r="L41" i="1"/>
  <c r="L29" i="1"/>
  <c r="K38" i="1"/>
  <c r="J38" i="1"/>
  <c r="I38" i="1"/>
  <c r="L32" i="1"/>
  <c r="K32" i="1"/>
  <c r="J32" i="1"/>
  <c r="I32" i="1"/>
  <c r="H32" i="1"/>
  <c r="K31" i="1"/>
  <c r="I31" i="1"/>
  <c r="H31" i="1"/>
  <c r="I29" i="1"/>
  <c r="L28" i="1"/>
  <c r="J28" i="1"/>
  <c r="J26" i="1"/>
  <c r="I25" i="1"/>
  <c r="K24" i="1"/>
  <c r="I24" i="1"/>
  <c r="H39" i="1"/>
  <c r="I39" i="1"/>
  <c r="H38" i="1"/>
  <c r="L37" i="1"/>
  <c r="K37" i="1"/>
  <c r="J37" i="1"/>
  <c r="I37" i="1"/>
  <c r="H37" i="1"/>
  <c r="L36" i="1"/>
  <c r="K36" i="1"/>
  <c r="J36" i="1"/>
  <c r="I36" i="1"/>
  <c r="H36" i="1"/>
  <c r="L35" i="1"/>
  <c r="K35" i="1"/>
  <c r="J35" i="1"/>
  <c r="I35" i="1"/>
  <c r="H35" i="1"/>
  <c r="L34" i="1"/>
  <c r="K34" i="1"/>
  <c r="J34" i="1"/>
  <c r="I34" i="1"/>
  <c r="L33" i="1"/>
  <c r="K33" i="1"/>
  <c r="J33" i="1"/>
  <c r="H33" i="1"/>
  <c r="J31" i="1"/>
  <c r="H28" i="1"/>
  <c r="K26" i="1"/>
  <c r="H26" i="1"/>
  <c r="J25" i="1"/>
  <c r="L24" i="1"/>
  <c r="J39" i="1"/>
  <c r="K39" i="1"/>
  <c r="L39" i="1"/>
  <c r="H34" i="1"/>
  <c r="I33" i="1"/>
  <c r="L31" i="1"/>
  <c r="J29" i="1"/>
  <c r="K28" i="1"/>
  <c r="L27" i="1"/>
  <c r="I26" i="1"/>
  <c r="K25" i="1"/>
  <c r="L30" i="1"/>
  <c r="K30" i="1"/>
  <c r="J30" i="1"/>
  <c r="I30" i="1"/>
  <c r="H30" i="1"/>
  <c r="H40" i="1"/>
  <c r="K29" i="1"/>
  <c r="H29" i="1"/>
  <c r="I28" i="1"/>
  <c r="K27" i="1"/>
  <c r="L25" i="1"/>
  <c r="H25" i="1"/>
  <c r="J24" i="1"/>
  <c r="L38" i="1"/>
  <c r="J27" i="1"/>
  <c r="I27" i="1"/>
  <c r="H27" i="1"/>
  <c r="J40" i="1"/>
  <c r="H24" i="1"/>
  <c r="L23" i="1"/>
  <c r="K23" i="1"/>
  <c r="J23" i="1"/>
  <c r="I23" i="1"/>
  <c r="H23" i="1"/>
  <c r="L22" i="1"/>
  <c r="K22" i="1"/>
  <c r="J22" i="1"/>
  <c r="I22" i="1"/>
  <c r="H22" i="1"/>
  <c r="L21" i="1"/>
  <c r="K21" i="1"/>
  <c r="J21" i="1"/>
  <c r="I21" i="1"/>
  <c r="H21" i="1"/>
  <c r="J20" i="1"/>
  <c r="I20" i="1"/>
  <c r="H20" i="1"/>
  <c r="K19" i="1"/>
  <c r="J19" i="1"/>
  <c r="H19" i="1"/>
  <c r="K18" i="1"/>
  <c r="I18" i="1"/>
  <c r="H18" i="1"/>
  <c r="L17" i="1"/>
  <c r="I17" i="1"/>
  <c r="H17" i="1"/>
  <c r="K40" i="1"/>
  <c r="L40" i="1"/>
  <c r="H41" i="1"/>
  <c r="L20" i="1"/>
  <c r="K20" i="1"/>
  <c r="L19" i="1"/>
  <c r="I19" i="1"/>
  <c r="L18" i="1"/>
  <c r="J18" i="1"/>
  <c r="K17" i="1"/>
  <c r="J17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H10" i="1"/>
  <c r="L9" i="1"/>
  <c r="K9" i="1"/>
  <c r="J9" i="1"/>
  <c r="I9" i="1"/>
  <c r="H9" i="1"/>
  <c r="I41" i="1"/>
  <c r="J41" i="1"/>
  <c r="K41" i="1"/>
  <c r="L10" i="1"/>
  <c r="K10" i="1"/>
  <c r="J10" i="1"/>
  <c r="I10" i="1"/>
  <c r="I40" i="1"/>
</calcChain>
</file>

<file path=xl/sharedStrings.xml><?xml version="1.0" encoding="utf-8"?>
<sst xmlns="http://schemas.openxmlformats.org/spreadsheetml/2006/main" count="149" uniqueCount="84">
  <si>
    <t>Subject</t>
  </si>
  <si>
    <t>Grade</t>
  </si>
  <si>
    <t>Chapter #</t>
  </si>
  <si>
    <t>Chapter Title</t>
  </si>
  <si>
    <t>Saved Filename</t>
  </si>
  <si>
    <t>MatchRow</t>
  </si>
  <si>
    <t>Quick Filters</t>
  </si>
  <si>
    <t>English</t>
  </si>
  <si>
    <t>III</t>
  </si>
  <si>
    <t>Fun with Friends</t>
  </si>
  <si>
    <t>ch_01_20260526_184454.json</t>
  </si>
  <si>
    <t>IV</t>
  </si>
  <si>
    <t>Together We Can</t>
  </si>
  <si>
    <t>ch_01_20260525_205451.json</t>
  </si>
  <si>
    <t>All</t>
  </si>
  <si>
    <t>IX</t>
  </si>
  <si>
    <t>Twin Melodies</t>
  </si>
  <si>
    <t>ch_06_20260608_213837.json</t>
  </si>
  <si>
    <t>V</t>
  </si>
  <si>
    <t>Papa's Spectacles</t>
  </si>
  <si>
    <t>ch_01_20260525_165845.json</t>
  </si>
  <si>
    <t>VI</t>
  </si>
  <si>
    <t>Friendship</t>
  </si>
  <si>
    <t>ch_02_20260518_104012.json</t>
  </si>
  <si>
    <t>VII</t>
  </si>
  <si>
    <t>Learning Together</t>
  </si>
  <si>
    <t>ch_01_20260510_175736.json</t>
  </si>
  <si>
    <t>Filtered Results</t>
  </si>
  <si>
    <t>Wit and Humour</t>
  </si>
  <si>
    <t>ch_02_20260512_122542.json</t>
  </si>
  <si>
    <t>VIII</t>
  </si>
  <si>
    <t>Values and Dispositions</t>
  </si>
  <si>
    <t>ch_02_20260519_122152.json</t>
  </si>
  <si>
    <t>ch_02_20260609_101904.json</t>
  </si>
  <si>
    <t>Mathematics</t>
  </si>
  <si>
    <t>House of Hundreds - I</t>
  </si>
  <si>
    <t>ch_06_20260603_180712.json</t>
  </si>
  <si>
    <t>Weigh It, Pour It</t>
  </si>
  <si>
    <t>ch_08_20260603_175438.json</t>
  </si>
  <si>
    <t>Introduction to Linear Polynomials</t>
  </si>
  <si>
    <t>ch_02_20260618_102702.json</t>
  </si>
  <si>
    <t>The Mathematics of Maybe: Introduction to Probability</t>
  </si>
  <si>
    <t>ch_07_20260618_202840.json</t>
  </si>
  <si>
    <t>Symmetrical Designs</t>
  </si>
  <si>
    <t>ch_10_20260603_202901.json</t>
  </si>
  <si>
    <t>Prime Time</t>
  </si>
  <si>
    <t>ch_05_20260523_170838.json</t>
  </si>
  <si>
    <t>Arithmetic Expressions</t>
  </si>
  <si>
    <t>ch_02_20260502_151358.json</t>
  </si>
  <si>
    <t>Expressions Using Letter-Numbers</t>
  </si>
  <si>
    <t>ch_04_20260523_124721.json</t>
  </si>
  <si>
    <t>The Baudhāyana-Pythagoras Theorem</t>
  </si>
  <si>
    <t>ch_09_20260524_102221.json</t>
  </si>
  <si>
    <t>Science</t>
  </si>
  <si>
    <t>Cell: The Building Block of Life</t>
  </si>
  <si>
    <t>ch_02_20260614_125940.json</t>
  </si>
  <si>
    <t>Journey Inside the Atom</t>
  </si>
  <si>
    <t>ch_08_20260612_151832.json</t>
  </si>
  <si>
    <t>Exploring Magnets</t>
  </si>
  <si>
    <t>ch_04_20260522_130837.json</t>
  </si>
  <si>
    <t>Exploring Substances: Acidic, Basic, and Neutral</t>
  </si>
  <si>
    <t>ch_02_20260418_105822.json</t>
  </si>
  <si>
    <t>Light — Shadows and Reflections</t>
  </si>
  <si>
    <t>ch_11_20260522_120405.json</t>
  </si>
  <si>
    <t>Exploring Forces</t>
  </si>
  <si>
    <t>ch_05_20260522_133604.json</t>
  </si>
  <si>
    <t>Social Sciences</t>
  </si>
  <si>
    <t>Chapter 6: The Beginnings of Indian Civilisation</t>
  </si>
  <si>
    <t>ch_06_20260520_161946.json</t>
  </si>
  <si>
    <t>ch_06_20260520_172638.json</t>
  </si>
  <si>
    <t>ch_06_20260520_190601.json</t>
  </si>
  <si>
    <t>New Beginnings - Cities and States</t>
  </si>
  <si>
    <t>ch_04_20260418_110552.json</t>
  </si>
  <si>
    <t>Chapter 4: The Colonial Era in India</t>
  </si>
  <si>
    <t>ch_04_20260520_195842.json</t>
  </si>
  <si>
    <t>Chapter 5: Universal Franchise and India's Electoral System</t>
  </si>
  <si>
    <t>ch_05_20260521_143011.json</t>
  </si>
  <si>
    <t>The World Around Us</t>
  </si>
  <si>
    <t>Family and Friends</t>
  </si>
  <si>
    <t>ch_01_20260531_132347.json</t>
  </si>
  <si>
    <t>How Things Work</t>
  </si>
  <si>
    <t>ch_07_20260531_103400.json</t>
  </si>
  <si>
    <t>Our Vibrant Country</t>
  </si>
  <si>
    <t>ch_05_20260531_122055.json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</si>
</sst>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9"/>
      <color rgb="FF999999"/>
      <name val="Arial"/>
      <family val="2"/>
    </font>
    <font>
      <b/>
      <sz val="12"/>
      <color rgb="FF1E5C4A"/>
      <name val="Arial"/>
      <family val="2"/>
    </font>
    <font>
      <sz val="11"/>
      <name val="Arial"/>
      <family val="2"/>
    </font>
    <font>
      <sz val="9"/>
      <color rgb="FF999999"/>
      <name val="Arial"/>
      <family val="2"/>
    </font>
    <font>
      <b/>
      <sz val="10"/>
      <name val="Arial"/>
      <family val="2"/>
    </font>
    <font>
      <b/>
      <sz val="11"/>
      <color rgb="FF1E5C4A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5C4A"/>
        <bgColor rgb="FF003366"/>
      </patternFill>
    </fill>
    <fill>
      <patternFill patternType="solid">
        <fgColor rgb="FFF2F2F2"/>
        <bgColor rgb="FFFBF6EC"/>
      </patternFill>
    </fill>
    <fill>
      <patternFill patternType="solid">
        <fgColor rgb="FFFFFFFF"/>
        <bgColor rgb="FFFBF6EC"/>
      </patternFill>
    </fill>
    <fill>
      <patternFill patternType="solid">
        <fgColor rgb="FF9A7321"/>
        <bgColor rgb="FF808080"/>
      </patternFill>
    </fill>
    <fill>
      <patternFill patternType="solid">
        <fgColor rgb="FFFBF6EC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4" fillId="0" borderId="0" xfId="0" applyFont="1"/>
    <xf numFmtId="0" fontId="6" fillId="0" borderId="0" xfId="0" applyFont="1"/>
    <xf numFmtId="0" fontId="4" fillId="4" borderId="1" xfId="0" applyFont="1" applyFill="1" applyBorder="1"/>
    <xf numFmtId="0" fontId="7" fillId="0" borderId="0" xfId="0" applyFont="1"/>
    <xf numFmtId="0" fontId="1" fillId="5" borderId="0" xfId="0" applyFont="1" applyFill="1"/>
    <xf numFmtId="0" fontId="8" fillId="0" borderId="0" xfId="0" applyFont="1"/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321"/>
      <rgbColor rgb="FF800080"/>
      <rgbColor rgb="FF008080"/>
      <rgbColor rgb="FFC0C0C0"/>
      <rgbColor rgb="FF808080"/>
      <rgbColor rgb="FF9999FF"/>
      <rgbColor rgb="FF993366"/>
      <rgbColor rgb="FFFBF6E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E5C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Normal="100" workbookViewId="0">
      <pane ySplit="1" topLeftCell="A2" activePane="bottomLeft" state="frozen"/>
      <selection pane="bottomLeft" activeCell="E1" sqref="A1:E1048576"/>
    </sheetView>
  </sheetViews>
  <sheetFormatPr baseColWidth="10" defaultColWidth="8.6640625" defaultRowHeight="15" x14ac:dyDescent="0.2"/>
  <cols>
    <col min="1" max="1" width="18" hidden="1" customWidth="1"/>
    <col min="2" max="2" width="8" hidden="1" customWidth="1"/>
    <col min="3" max="3" width="10" hidden="1" customWidth="1"/>
    <col min="4" max="4" width="55" hidden="1" customWidth="1"/>
    <col min="5" max="5" width="30" hidden="1" customWidth="1"/>
    <col min="6" max="6" width="10" hidden="1" customWidth="1"/>
    <col min="7" max="7" width="3" customWidth="1"/>
    <col min="8" max="8" width="16" customWidth="1"/>
    <col min="9" max="9" width="20" customWidth="1"/>
    <col min="10" max="10" width="10" customWidth="1"/>
    <col min="11" max="11" width="55" customWidth="1"/>
    <col min="12" max="12" width="30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 t="s">
        <v>6</v>
      </c>
    </row>
    <row r="2" spans="1:12" x14ac:dyDescent="0.2">
      <c r="A2" s="4" t="s">
        <v>7</v>
      </c>
      <c r="B2" s="4" t="s">
        <v>8</v>
      </c>
      <c r="C2" s="4">
        <v>1</v>
      </c>
      <c r="D2" s="4" t="s">
        <v>9</v>
      </c>
      <c r="E2" s="4" t="s">
        <v>10</v>
      </c>
      <c r="F2" s="5">
        <f t="shared" ref="F2:F34" si="0">IF(AND(OR($I$3="All",A2=$I$3),OR($I$5="All",B2=$I$5)),ROW()-1,"")</f>
        <v>1</v>
      </c>
    </row>
    <row r="3" spans="1:12" x14ac:dyDescent="0.2">
      <c r="A3" s="6" t="s">
        <v>7</v>
      </c>
      <c r="B3" s="6" t="s">
        <v>11</v>
      </c>
      <c r="C3" s="6">
        <v>1</v>
      </c>
      <c r="D3" s="6" t="s">
        <v>12</v>
      </c>
      <c r="E3" s="6" t="s">
        <v>13</v>
      </c>
      <c r="F3" s="5">
        <f t="shared" si="0"/>
        <v>2</v>
      </c>
      <c r="H3" s="7" t="s">
        <v>0</v>
      </c>
      <c r="I3" s="8" t="s">
        <v>14</v>
      </c>
    </row>
    <row r="4" spans="1:12" x14ac:dyDescent="0.2">
      <c r="A4" s="4" t="s">
        <v>7</v>
      </c>
      <c r="B4" s="4" t="s">
        <v>15</v>
      </c>
      <c r="C4" s="4">
        <v>6</v>
      </c>
      <c r="D4" s="4" t="s">
        <v>16</v>
      </c>
      <c r="E4" s="4" t="s">
        <v>17</v>
      </c>
      <c r="F4" s="5">
        <f t="shared" si="0"/>
        <v>3</v>
      </c>
    </row>
    <row r="5" spans="1:12" x14ac:dyDescent="0.2">
      <c r="A5" s="6" t="s">
        <v>7</v>
      </c>
      <c r="B5" s="6" t="s">
        <v>18</v>
      </c>
      <c r="C5" s="6">
        <v>1</v>
      </c>
      <c r="D5" s="6" t="s">
        <v>19</v>
      </c>
      <c r="E5" s="6" t="s">
        <v>20</v>
      </c>
      <c r="F5" s="5">
        <f t="shared" si="0"/>
        <v>4</v>
      </c>
      <c r="H5" s="7" t="s">
        <v>1</v>
      </c>
      <c r="I5" s="8" t="s">
        <v>14</v>
      </c>
    </row>
    <row r="6" spans="1:12" x14ac:dyDescent="0.2">
      <c r="A6" s="4" t="s">
        <v>7</v>
      </c>
      <c r="B6" s="4" t="s">
        <v>21</v>
      </c>
      <c r="C6" s="4">
        <v>2</v>
      </c>
      <c r="D6" s="4" t="s">
        <v>22</v>
      </c>
      <c r="E6" s="4" t="s">
        <v>23</v>
      </c>
      <c r="F6" s="5">
        <f t="shared" si="0"/>
        <v>5</v>
      </c>
    </row>
    <row r="7" spans="1:12" x14ac:dyDescent="0.2">
      <c r="A7" s="6" t="s">
        <v>7</v>
      </c>
      <c r="B7" s="6" t="s">
        <v>24</v>
      </c>
      <c r="C7" s="6">
        <v>1</v>
      </c>
      <c r="D7" s="6" t="s">
        <v>25</v>
      </c>
      <c r="E7" s="6" t="s">
        <v>26</v>
      </c>
      <c r="F7" s="5">
        <f t="shared" si="0"/>
        <v>6</v>
      </c>
      <c r="H7" s="9" t="s">
        <v>27</v>
      </c>
    </row>
    <row r="8" spans="1:12" x14ac:dyDescent="0.2">
      <c r="A8" s="4" t="s">
        <v>7</v>
      </c>
      <c r="B8" s="4" t="s">
        <v>24</v>
      </c>
      <c r="C8" s="4">
        <v>2</v>
      </c>
      <c r="D8" s="4" t="s">
        <v>28</v>
      </c>
      <c r="E8" s="4" t="s">
        <v>29</v>
      </c>
      <c r="F8" s="5">
        <f t="shared" si="0"/>
        <v>7</v>
      </c>
      <c r="H8" s="10" t="s">
        <v>0</v>
      </c>
      <c r="I8" s="10" t="s">
        <v>1</v>
      </c>
      <c r="J8" s="10" t="s">
        <v>2</v>
      </c>
      <c r="K8" s="10" t="s">
        <v>3</v>
      </c>
      <c r="L8" s="10" t="s">
        <v>4</v>
      </c>
    </row>
    <row r="9" spans="1:12" x14ac:dyDescent="0.2">
      <c r="A9" s="6" t="s">
        <v>7</v>
      </c>
      <c r="B9" s="6" t="s">
        <v>30</v>
      </c>
      <c r="C9" s="6">
        <v>2</v>
      </c>
      <c r="D9" s="6" t="s">
        <v>31</v>
      </c>
      <c r="E9" s="6" t="s">
        <v>32</v>
      </c>
      <c r="F9" s="5">
        <f t="shared" si="0"/>
        <v>8</v>
      </c>
      <c r="H9" s="11" t="str">
        <f t="shared" ref="H9:H41" si="1">IFERROR(INDEX($A$2:$A$34,SMALL($F$2:$F$34,ROW()-8)),"")</f>
        <v>English</v>
      </c>
      <c r="I9" s="11" t="str">
        <f t="shared" ref="I9:I41" si="2">IFERROR(INDEX($B$2:$B$34,SMALL($F$2:$F$34,ROW()-8)),"")</f>
        <v>III</v>
      </c>
      <c r="J9" s="11">
        <f t="shared" ref="J9:J41" si="3">IFERROR(INDEX($C$2:$C$34,SMALL($F$2:$F$34,ROW()-8)),"")</f>
        <v>1</v>
      </c>
      <c r="K9" s="11" t="str">
        <f t="shared" ref="K9:K41" si="4">IFERROR(INDEX($D$2:$D$34,SMALL($F$2:$F$34,ROW()-8)),"")</f>
        <v>Fun with Friends</v>
      </c>
      <c r="L9" s="11" t="str">
        <f t="shared" ref="L9:L41" si="5">IFERROR(INDEX($E$2:$E$34,SMALL($F$2:$F$34,ROW()-8)),"")</f>
        <v>ch_01_20260526_184454.json</v>
      </c>
    </row>
    <row r="10" spans="1:12" x14ac:dyDescent="0.2">
      <c r="A10" s="4" t="s">
        <v>7</v>
      </c>
      <c r="B10" s="4" t="s">
        <v>30</v>
      </c>
      <c r="C10" s="4">
        <v>2</v>
      </c>
      <c r="D10" s="4" t="s">
        <v>31</v>
      </c>
      <c r="E10" s="4" t="s">
        <v>33</v>
      </c>
      <c r="F10" s="5">
        <f t="shared" si="0"/>
        <v>9</v>
      </c>
      <c r="H10" s="12" t="str">
        <f t="shared" si="1"/>
        <v>English</v>
      </c>
      <c r="I10" s="12" t="str">
        <f t="shared" si="2"/>
        <v>IV</v>
      </c>
      <c r="J10" s="12">
        <f t="shared" si="3"/>
        <v>1</v>
      </c>
      <c r="K10" s="12" t="str">
        <f t="shared" si="4"/>
        <v>Together We Can</v>
      </c>
      <c r="L10" s="12" t="str">
        <f t="shared" si="5"/>
        <v>ch_01_20260525_205451.json</v>
      </c>
    </row>
    <row r="11" spans="1:12" x14ac:dyDescent="0.2">
      <c r="A11" s="6" t="s">
        <v>34</v>
      </c>
      <c r="B11" s="6" t="s">
        <v>8</v>
      </c>
      <c r="C11" s="6">
        <v>6</v>
      </c>
      <c r="D11" s="6" t="s">
        <v>35</v>
      </c>
      <c r="E11" s="6" t="s">
        <v>36</v>
      </c>
      <c r="F11" s="5">
        <f t="shared" si="0"/>
        <v>10</v>
      </c>
      <c r="H11" s="11" t="str">
        <f t="shared" si="1"/>
        <v>English</v>
      </c>
      <c r="I11" s="11" t="str">
        <f t="shared" si="2"/>
        <v>IX</v>
      </c>
      <c r="J11" s="11">
        <f t="shared" si="3"/>
        <v>6</v>
      </c>
      <c r="K11" s="11" t="str">
        <f t="shared" si="4"/>
        <v>Twin Melodies</v>
      </c>
      <c r="L11" s="11" t="str">
        <f t="shared" si="5"/>
        <v>ch_06_20260608_213837.json</v>
      </c>
    </row>
    <row r="12" spans="1:12" x14ac:dyDescent="0.2">
      <c r="A12" s="4" t="s">
        <v>34</v>
      </c>
      <c r="B12" s="4" t="s">
        <v>11</v>
      </c>
      <c r="C12" s="4">
        <v>8</v>
      </c>
      <c r="D12" s="4" t="s">
        <v>37</v>
      </c>
      <c r="E12" s="4" t="s">
        <v>38</v>
      </c>
      <c r="F12" s="5">
        <f t="shared" si="0"/>
        <v>11</v>
      </c>
      <c r="H12" s="12" t="str">
        <f t="shared" si="1"/>
        <v>English</v>
      </c>
      <c r="I12" s="12" t="str">
        <f t="shared" si="2"/>
        <v>V</v>
      </c>
      <c r="J12" s="12">
        <f t="shared" si="3"/>
        <v>1</v>
      </c>
      <c r="K12" s="12" t="str">
        <f t="shared" si="4"/>
        <v>Papa's Spectacles</v>
      </c>
      <c r="L12" s="12" t="str">
        <f t="shared" si="5"/>
        <v>ch_01_20260525_165845.json</v>
      </c>
    </row>
    <row r="13" spans="1:12" x14ac:dyDescent="0.2">
      <c r="A13" s="6" t="s">
        <v>34</v>
      </c>
      <c r="B13" s="6" t="s">
        <v>15</v>
      </c>
      <c r="C13" s="6">
        <v>2</v>
      </c>
      <c r="D13" s="6" t="s">
        <v>39</v>
      </c>
      <c r="E13" s="6" t="s">
        <v>40</v>
      </c>
      <c r="F13" s="5">
        <f t="shared" si="0"/>
        <v>12</v>
      </c>
      <c r="H13" s="11" t="str">
        <f t="shared" si="1"/>
        <v>English</v>
      </c>
      <c r="I13" s="11" t="str">
        <f t="shared" si="2"/>
        <v>VI</v>
      </c>
      <c r="J13" s="11">
        <f t="shared" si="3"/>
        <v>2</v>
      </c>
      <c r="K13" s="11" t="str">
        <f t="shared" si="4"/>
        <v>Friendship</v>
      </c>
      <c r="L13" s="11" t="str">
        <f t="shared" si="5"/>
        <v>ch_02_20260518_104012.json</v>
      </c>
    </row>
    <row r="14" spans="1:12" x14ac:dyDescent="0.2">
      <c r="A14" s="4" t="s">
        <v>34</v>
      </c>
      <c r="B14" s="4" t="s">
        <v>15</v>
      </c>
      <c r="C14" s="4">
        <v>7</v>
      </c>
      <c r="D14" s="4" t="s">
        <v>41</v>
      </c>
      <c r="E14" s="4" t="s">
        <v>42</v>
      </c>
      <c r="F14" s="5">
        <f t="shared" si="0"/>
        <v>13</v>
      </c>
      <c r="H14" s="12" t="str">
        <f t="shared" si="1"/>
        <v>English</v>
      </c>
      <c r="I14" s="12" t="str">
        <f t="shared" si="2"/>
        <v>VII</v>
      </c>
      <c r="J14" s="12">
        <f t="shared" si="3"/>
        <v>1</v>
      </c>
      <c r="K14" s="12" t="str">
        <f t="shared" si="4"/>
        <v>Learning Together</v>
      </c>
      <c r="L14" s="12" t="str">
        <f t="shared" si="5"/>
        <v>ch_01_20260510_175736.json</v>
      </c>
    </row>
    <row r="15" spans="1:12" x14ac:dyDescent="0.2">
      <c r="A15" s="6" t="s">
        <v>34</v>
      </c>
      <c r="B15" s="6" t="s">
        <v>18</v>
      </c>
      <c r="C15" s="6">
        <v>10</v>
      </c>
      <c r="D15" s="6" t="s">
        <v>43</v>
      </c>
      <c r="E15" s="6" t="s">
        <v>44</v>
      </c>
      <c r="F15" s="5">
        <f t="shared" si="0"/>
        <v>14</v>
      </c>
      <c r="H15" s="11" t="str">
        <f t="shared" si="1"/>
        <v>English</v>
      </c>
      <c r="I15" s="11" t="str">
        <f t="shared" si="2"/>
        <v>VII</v>
      </c>
      <c r="J15" s="11">
        <f t="shared" si="3"/>
        <v>2</v>
      </c>
      <c r="K15" s="11" t="str">
        <f t="shared" si="4"/>
        <v>Wit and Humour</v>
      </c>
      <c r="L15" s="11" t="str">
        <f t="shared" si="5"/>
        <v>ch_02_20260512_122542.json</v>
      </c>
    </row>
    <row r="16" spans="1:12" x14ac:dyDescent="0.2">
      <c r="A16" s="4" t="s">
        <v>34</v>
      </c>
      <c r="B16" s="4" t="s">
        <v>21</v>
      </c>
      <c r="C16" s="4">
        <v>5</v>
      </c>
      <c r="D16" s="4" t="s">
        <v>45</v>
      </c>
      <c r="E16" s="4" t="s">
        <v>46</v>
      </c>
      <c r="F16" s="5">
        <f t="shared" si="0"/>
        <v>15</v>
      </c>
      <c r="H16" s="12" t="str">
        <f t="shared" si="1"/>
        <v>English</v>
      </c>
      <c r="I16" s="12" t="str">
        <f t="shared" si="2"/>
        <v>VIII</v>
      </c>
      <c r="J16" s="12">
        <f t="shared" si="3"/>
        <v>2</v>
      </c>
      <c r="K16" s="12" t="str">
        <f t="shared" si="4"/>
        <v>Values and Dispositions</v>
      </c>
      <c r="L16" s="12" t="str">
        <f t="shared" si="5"/>
        <v>ch_02_20260519_122152.json</v>
      </c>
    </row>
    <row r="17" spans="1:12" x14ac:dyDescent="0.2">
      <c r="A17" s="6" t="s">
        <v>34</v>
      </c>
      <c r="B17" s="6" t="s">
        <v>24</v>
      </c>
      <c r="C17" s="6">
        <v>2</v>
      </c>
      <c r="D17" s="6" t="s">
        <v>47</v>
      </c>
      <c r="E17" s="6" t="s">
        <v>48</v>
      </c>
      <c r="F17" s="5">
        <f t="shared" si="0"/>
        <v>16</v>
      </c>
      <c r="H17" s="11" t="str">
        <f t="shared" si="1"/>
        <v>English</v>
      </c>
      <c r="I17" s="11" t="str">
        <f t="shared" si="2"/>
        <v>VIII</v>
      </c>
      <c r="J17" s="11">
        <f t="shared" si="3"/>
        <v>2</v>
      </c>
      <c r="K17" s="11" t="str">
        <f t="shared" si="4"/>
        <v>Values and Dispositions</v>
      </c>
      <c r="L17" s="11" t="str">
        <f t="shared" si="5"/>
        <v>ch_02_20260609_101904.json</v>
      </c>
    </row>
    <row r="18" spans="1:12" x14ac:dyDescent="0.2">
      <c r="A18" s="4" t="s">
        <v>34</v>
      </c>
      <c r="B18" s="4" t="s">
        <v>24</v>
      </c>
      <c r="C18" s="4">
        <v>4</v>
      </c>
      <c r="D18" s="4" t="s">
        <v>49</v>
      </c>
      <c r="E18" s="4" t="s">
        <v>50</v>
      </c>
      <c r="F18" s="5">
        <f t="shared" si="0"/>
        <v>17</v>
      </c>
      <c r="H18" s="12" t="str">
        <f t="shared" si="1"/>
        <v>Mathematics</v>
      </c>
      <c r="I18" s="12" t="str">
        <f t="shared" si="2"/>
        <v>III</v>
      </c>
      <c r="J18" s="12">
        <f t="shared" si="3"/>
        <v>6</v>
      </c>
      <c r="K18" s="12" t="str">
        <f t="shared" si="4"/>
        <v>House of Hundreds - I</v>
      </c>
      <c r="L18" s="12" t="str">
        <f t="shared" si="5"/>
        <v>ch_06_20260603_180712.json</v>
      </c>
    </row>
    <row r="19" spans="1:12" x14ac:dyDescent="0.2">
      <c r="A19" s="6" t="s">
        <v>34</v>
      </c>
      <c r="B19" s="6" t="s">
        <v>30</v>
      </c>
      <c r="C19" s="6">
        <v>9</v>
      </c>
      <c r="D19" s="6" t="s">
        <v>51</v>
      </c>
      <c r="E19" s="6" t="s">
        <v>52</v>
      </c>
      <c r="F19" s="5">
        <f t="shared" si="0"/>
        <v>18</v>
      </c>
      <c r="H19" s="11" t="str">
        <f t="shared" si="1"/>
        <v>Mathematics</v>
      </c>
      <c r="I19" s="11" t="str">
        <f t="shared" si="2"/>
        <v>IV</v>
      </c>
      <c r="J19" s="11">
        <f t="shared" si="3"/>
        <v>8</v>
      </c>
      <c r="K19" s="11" t="str">
        <f t="shared" si="4"/>
        <v>Weigh It, Pour It</v>
      </c>
      <c r="L19" s="11" t="str">
        <f t="shared" si="5"/>
        <v>ch_08_20260603_175438.json</v>
      </c>
    </row>
    <row r="20" spans="1:12" x14ac:dyDescent="0.2">
      <c r="A20" s="4" t="s">
        <v>53</v>
      </c>
      <c r="B20" s="4" t="s">
        <v>15</v>
      </c>
      <c r="C20" s="4">
        <v>2</v>
      </c>
      <c r="D20" s="4" t="s">
        <v>54</v>
      </c>
      <c r="E20" s="4" t="s">
        <v>55</v>
      </c>
      <c r="F20" s="5">
        <f t="shared" si="0"/>
        <v>19</v>
      </c>
      <c r="H20" s="12" t="str">
        <f t="shared" si="1"/>
        <v>Mathematics</v>
      </c>
      <c r="I20" s="12" t="str">
        <f t="shared" si="2"/>
        <v>IX</v>
      </c>
      <c r="J20" s="12">
        <f t="shared" si="3"/>
        <v>2</v>
      </c>
      <c r="K20" s="12" t="str">
        <f t="shared" si="4"/>
        <v>Introduction to Linear Polynomials</v>
      </c>
      <c r="L20" s="12" t="str">
        <f t="shared" si="5"/>
        <v>ch_02_20260618_102702.json</v>
      </c>
    </row>
    <row r="21" spans="1:12" x14ac:dyDescent="0.2">
      <c r="A21" s="6" t="s">
        <v>53</v>
      </c>
      <c r="B21" s="6" t="s">
        <v>15</v>
      </c>
      <c r="C21" s="6">
        <v>8</v>
      </c>
      <c r="D21" s="6" t="s">
        <v>56</v>
      </c>
      <c r="E21" s="6" t="s">
        <v>57</v>
      </c>
      <c r="F21" s="5">
        <f t="shared" si="0"/>
        <v>20</v>
      </c>
      <c r="H21" s="11" t="str">
        <f t="shared" si="1"/>
        <v>Mathematics</v>
      </c>
      <c r="I21" s="11" t="str">
        <f t="shared" si="2"/>
        <v>IX</v>
      </c>
      <c r="J21" s="11">
        <f t="shared" si="3"/>
        <v>7</v>
      </c>
      <c r="K21" s="11" t="str">
        <f t="shared" si="4"/>
        <v>The Mathematics of Maybe: Introduction to Probability</v>
      </c>
      <c r="L21" s="11" t="str">
        <f t="shared" si="5"/>
        <v>ch_07_20260618_202840.json</v>
      </c>
    </row>
    <row r="22" spans="1:12" x14ac:dyDescent="0.2">
      <c r="A22" s="4" t="s">
        <v>53</v>
      </c>
      <c r="B22" s="4" t="s">
        <v>21</v>
      </c>
      <c r="C22" s="4">
        <v>4</v>
      </c>
      <c r="D22" s="4" t="s">
        <v>58</v>
      </c>
      <c r="E22" s="4" t="s">
        <v>59</v>
      </c>
      <c r="F22" s="5">
        <f t="shared" si="0"/>
        <v>21</v>
      </c>
      <c r="H22" s="12" t="str">
        <f t="shared" si="1"/>
        <v>Mathematics</v>
      </c>
      <c r="I22" s="12" t="str">
        <f t="shared" si="2"/>
        <v>V</v>
      </c>
      <c r="J22" s="12">
        <f t="shared" si="3"/>
        <v>10</v>
      </c>
      <c r="K22" s="12" t="str">
        <f t="shared" si="4"/>
        <v>Symmetrical Designs</v>
      </c>
      <c r="L22" s="12" t="str">
        <f t="shared" si="5"/>
        <v>ch_10_20260603_202901.json</v>
      </c>
    </row>
    <row r="23" spans="1:12" x14ac:dyDescent="0.2">
      <c r="A23" s="6" t="s">
        <v>53</v>
      </c>
      <c r="B23" s="6" t="s">
        <v>24</v>
      </c>
      <c r="C23" s="6">
        <v>2</v>
      </c>
      <c r="D23" s="6" t="s">
        <v>60</v>
      </c>
      <c r="E23" s="6" t="s">
        <v>61</v>
      </c>
      <c r="F23" s="5">
        <f t="shared" si="0"/>
        <v>22</v>
      </c>
      <c r="H23" s="11" t="str">
        <f t="shared" si="1"/>
        <v>Mathematics</v>
      </c>
      <c r="I23" s="11" t="str">
        <f t="shared" si="2"/>
        <v>VI</v>
      </c>
      <c r="J23" s="11">
        <f t="shared" si="3"/>
        <v>5</v>
      </c>
      <c r="K23" s="11" t="str">
        <f t="shared" si="4"/>
        <v>Prime Time</v>
      </c>
      <c r="L23" s="11" t="str">
        <f t="shared" si="5"/>
        <v>ch_05_20260523_170838.json</v>
      </c>
    </row>
    <row r="24" spans="1:12" x14ac:dyDescent="0.2">
      <c r="A24" s="4" t="s">
        <v>53</v>
      </c>
      <c r="B24" s="4" t="s">
        <v>24</v>
      </c>
      <c r="C24" s="4">
        <v>11</v>
      </c>
      <c r="D24" s="4" t="s">
        <v>62</v>
      </c>
      <c r="E24" s="4" t="s">
        <v>63</v>
      </c>
      <c r="F24" s="5">
        <f t="shared" si="0"/>
        <v>23</v>
      </c>
      <c r="H24" s="12" t="str">
        <f t="shared" si="1"/>
        <v>Mathematics</v>
      </c>
      <c r="I24" s="12" t="str">
        <f t="shared" si="2"/>
        <v>VII</v>
      </c>
      <c r="J24" s="12">
        <f t="shared" si="3"/>
        <v>2</v>
      </c>
      <c r="K24" s="12" t="str">
        <f t="shared" si="4"/>
        <v>Arithmetic Expressions</v>
      </c>
      <c r="L24" s="12" t="str">
        <f t="shared" si="5"/>
        <v>ch_02_20260502_151358.json</v>
      </c>
    </row>
    <row r="25" spans="1:12" x14ac:dyDescent="0.2">
      <c r="A25" s="6" t="s">
        <v>53</v>
      </c>
      <c r="B25" s="6" t="s">
        <v>30</v>
      </c>
      <c r="C25" s="6">
        <v>5</v>
      </c>
      <c r="D25" s="6" t="s">
        <v>64</v>
      </c>
      <c r="E25" s="6" t="s">
        <v>65</v>
      </c>
      <c r="F25" s="5">
        <f t="shared" si="0"/>
        <v>24</v>
      </c>
      <c r="H25" s="11" t="str">
        <f t="shared" si="1"/>
        <v>Mathematics</v>
      </c>
      <c r="I25" s="11" t="str">
        <f t="shared" si="2"/>
        <v>VII</v>
      </c>
      <c r="J25" s="11">
        <f t="shared" si="3"/>
        <v>4</v>
      </c>
      <c r="K25" s="11" t="str">
        <f t="shared" si="4"/>
        <v>Expressions Using Letter-Numbers</v>
      </c>
      <c r="L25" s="11" t="str">
        <f t="shared" si="5"/>
        <v>ch_04_20260523_124721.json</v>
      </c>
    </row>
    <row r="26" spans="1:12" x14ac:dyDescent="0.2">
      <c r="A26" s="4" t="s">
        <v>66</v>
      </c>
      <c r="B26" s="4" t="s">
        <v>21</v>
      </c>
      <c r="C26" s="4">
        <v>6</v>
      </c>
      <c r="D26" s="4" t="s">
        <v>67</v>
      </c>
      <c r="E26" s="4" t="s">
        <v>68</v>
      </c>
      <c r="F26" s="5">
        <f t="shared" si="0"/>
        <v>25</v>
      </c>
      <c r="H26" s="12" t="str">
        <f t="shared" si="1"/>
        <v>Mathematics</v>
      </c>
      <c r="I26" s="12" t="str">
        <f t="shared" si="2"/>
        <v>VIII</v>
      </c>
      <c r="J26" s="12">
        <f t="shared" si="3"/>
        <v>9</v>
      </c>
      <c r="K26" s="12" t="str">
        <f t="shared" si="4"/>
        <v>The Baudhāyana-Pythagoras Theorem</v>
      </c>
      <c r="L26" s="12" t="str">
        <f t="shared" si="5"/>
        <v>ch_09_20260524_102221.json</v>
      </c>
    </row>
    <row r="27" spans="1:12" x14ac:dyDescent="0.2">
      <c r="A27" s="6" t="s">
        <v>66</v>
      </c>
      <c r="B27" s="6" t="s">
        <v>21</v>
      </c>
      <c r="C27" s="6">
        <v>6</v>
      </c>
      <c r="D27" s="6" t="s">
        <v>67</v>
      </c>
      <c r="E27" s="6" t="s">
        <v>69</v>
      </c>
      <c r="F27" s="5">
        <f t="shared" si="0"/>
        <v>26</v>
      </c>
      <c r="H27" s="11" t="str">
        <f t="shared" si="1"/>
        <v>Science</v>
      </c>
      <c r="I27" s="11" t="str">
        <f t="shared" si="2"/>
        <v>IX</v>
      </c>
      <c r="J27" s="11">
        <f t="shared" si="3"/>
        <v>2</v>
      </c>
      <c r="K27" s="11" t="str">
        <f t="shared" si="4"/>
        <v>Cell: The Building Block of Life</v>
      </c>
      <c r="L27" s="11" t="str">
        <f t="shared" si="5"/>
        <v>ch_02_20260614_125940.json</v>
      </c>
    </row>
    <row r="28" spans="1:12" x14ac:dyDescent="0.2">
      <c r="A28" s="4" t="s">
        <v>66</v>
      </c>
      <c r="B28" s="4" t="s">
        <v>21</v>
      </c>
      <c r="C28" s="4">
        <v>6</v>
      </c>
      <c r="D28" s="4" t="s">
        <v>67</v>
      </c>
      <c r="E28" s="4" t="s">
        <v>70</v>
      </c>
      <c r="F28" s="5">
        <f t="shared" si="0"/>
        <v>27</v>
      </c>
      <c r="H28" s="12" t="str">
        <f t="shared" si="1"/>
        <v>Science</v>
      </c>
      <c r="I28" s="12" t="str">
        <f t="shared" si="2"/>
        <v>IX</v>
      </c>
      <c r="J28" s="12">
        <f t="shared" si="3"/>
        <v>8</v>
      </c>
      <c r="K28" s="12" t="str">
        <f t="shared" si="4"/>
        <v>Journey Inside the Atom</v>
      </c>
      <c r="L28" s="12" t="str">
        <f t="shared" si="5"/>
        <v>ch_08_20260612_151832.json</v>
      </c>
    </row>
    <row r="29" spans="1:12" x14ac:dyDescent="0.2">
      <c r="A29" s="6" t="s">
        <v>66</v>
      </c>
      <c r="B29" s="6" t="s">
        <v>24</v>
      </c>
      <c r="C29" s="6">
        <v>4</v>
      </c>
      <c r="D29" s="6" t="s">
        <v>71</v>
      </c>
      <c r="E29" s="6" t="s">
        <v>72</v>
      </c>
      <c r="F29" s="5">
        <f t="shared" si="0"/>
        <v>28</v>
      </c>
      <c r="H29" s="11" t="str">
        <f t="shared" si="1"/>
        <v>Science</v>
      </c>
      <c r="I29" s="11" t="str">
        <f t="shared" si="2"/>
        <v>VI</v>
      </c>
      <c r="J29" s="11">
        <f t="shared" si="3"/>
        <v>4</v>
      </c>
      <c r="K29" s="11" t="str">
        <f t="shared" si="4"/>
        <v>Exploring Magnets</v>
      </c>
      <c r="L29" s="11" t="str">
        <f t="shared" si="5"/>
        <v>ch_04_20260522_130837.json</v>
      </c>
    </row>
    <row r="30" spans="1:12" x14ac:dyDescent="0.2">
      <c r="A30" s="4" t="s">
        <v>66</v>
      </c>
      <c r="B30" s="4" t="s">
        <v>30</v>
      </c>
      <c r="C30" s="4">
        <v>4</v>
      </c>
      <c r="D30" s="4" t="s">
        <v>73</v>
      </c>
      <c r="E30" s="4" t="s">
        <v>74</v>
      </c>
      <c r="F30" s="5">
        <f t="shared" si="0"/>
        <v>29</v>
      </c>
      <c r="H30" s="12" t="str">
        <f t="shared" si="1"/>
        <v>Science</v>
      </c>
      <c r="I30" s="12" t="str">
        <f t="shared" si="2"/>
        <v>VII</v>
      </c>
      <c r="J30" s="12">
        <f t="shared" si="3"/>
        <v>2</v>
      </c>
      <c r="K30" s="12" t="str">
        <f t="shared" si="4"/>
        <v>Exploring Substances: Acidic, Basic, and Neutral</v>
      </c>
      <c r="L30" s="12" t="str">
        <f t="shared" si="5"/>
        <v>ch_02_20260418_105822.json</v>
      </c>
    </row>
    <row r="31" spans="1:12" x14ac:dyDescent="0.2">
      <c r="A31" s="6" t="s">
        <v>66</v>
      </c>
      <c r="B31" s="6" t="s">
        <v>30</v>
      </c>
      <c r="C31" s="6">
        <v>5</v>
      </c>
      <c r="D31" s="6" t="s">
        <v>75</v>
      </c>
      <c r="E31" s="6" t="s">
        <v>76</v>
      </c>
      <c r="F31" s="5">
        <f t="shared" si="0"/>
        <v>30</v>
      </c>
      <c r="H31" s="11" t="str">
        <f t="shared" si="1"/>
        <v>Science</v>
      </c>
      <c r="I31" s="11" t="str">
        <f t="shared" si="2"/>
        <v>VII</v>
      </c>
      <c r="J31" s="11">
        <f t="shared" si="3"/>
        <v>11</v>
      </c>
      <c r="K31" s="11" t="str">
        <f t="shared" si="4"/>
        <v>Light — Shadows and Reflections</v>
      </c>
      <c r="L31" s="11" t="str">
        <f t="shared" si="5"/>
        <v>ch_11_20260522_120405.json</v>
      </c>
    </row>
    <row r="32" spans="1:12" x14ac:dyDescent="0.2">
      <c r="A32" s="4" t="s">
        <v>77</v>
      </c>
      <c r="B32" s="4" t="s">
        <v>8</v>
      </c>
      <c r="C32" s="4">
        <v>1</v>
      </c>
      <c r="D32" s="4" t="s">
        <v>78</v>
      </c>
      <c r="E32" s="4" t="s">
        <v>79</v>
      </c>
      <c r="F32" s="5">
        <f t="shared" si="0"/>
        <v>31</v>
      </c>
      <c r="H32" s="12" t="str">
        <f t="shared" si="1"/>
        <v>Science</v>
      </c>
      <c r="I32" s="12" t="str">
        <f t="shared" si="2"/>
        <v>VIII</v>
      </c>
      <c r="J32" s="12">
        <f t="shared" si="3"/>
        <v>5</v>
      </c>
      <c r="K32" s="12" t="str">
        <f t="shared" si="4"/>
        <v>Exploring Forces</v>
      </c>
      <c r="L32" s="12" t="str">
        <f t="shared" si="5"/>
        <v>ch_05_20260522_133604.json</v>
      </c>
    </row>
    <row r="33" spans="1:12" x14ac:dyDescent="0.2">
      <c r="A33" s="6" t="s">
        <v>77</v>
      </c>
      <c r="B33" s="6" t="s">
        <v>11</v>
      </c>
      <c r="C33" s="6">
        <v>7</v>
      </c>
      <c r="D33" s="6" t="s">
        <v>80</v>
      </c>
      <c r="E33" s="6" t="s">
        <v>81</v>
      </c>
      <c r="F33" s="5">
        <f t="shared" si="0"/>
        <v>32</v>
      </c>
      <c r="H33" s="11" t="str">
        <f t="shared" si="1"/>
        <v>Social Sciences</v>
      </c>
      <c r="I33" s="11" t="str">
        <f t="shared" si="2"/>
        <v>VI</v>
      </c>
      <c r="J33" s="11">
        <f t="shared" si="3"/>
        <v>6</v>
      </c>
      <c r="K33" s="11" t="str">
        <f t="shared" si="4"/>
        <v>Chapter 6: The Beginnings of Indian Civilisation</v>
      </c>
      <c r="L33" s="11" t="str">
        <f t="shared" si="5"/>
        <v>ch_06_20260520_161946.json</v>
      </c>
    </row>
    <row r="34" spans="1:12" x14ac:dyDescent="0.2">
      <c r="A34" s="4" t="s">
        <v>77</v>
      </c>
      <c r="B34" s="4" t="s">
        <v>18</v>
      </c>
      <c r="C34" s="4">
        <v>5</v>
      </c>
      <c r="D34" s="4" t="s">
        <v>82</v>
      </c>
      <c r="E34" s="4" t="s">
        <v>83</v>
      </c>
      <c r="F34" s="5">
        <f t="shared" si="0"/>
        <v>33</v>
      </c>
      <c r="H34" s="12" t="str">
        <f t="shared" si="1"/>
        <v>Social Sciences</v>
      </c>
      <c r="I34" s="12" t="str">
        <f t="shared" si="2"/>
        <v>VI</v>
      </c>
      <c r="J34" s="12">
        <f t="shared" si="3"/>
        <v>6</v>
      </c>
      <c r="K34" s="12" t="str">
        <f t="shared" si="4"/>
        <v>Chapter 6: The Beginnings of Indian Civilisation</v>
      </c>
      <c r="L34" s="12" t="str">
        <f t="shared" si="5"/>
        <v>ch_06_20260520_172638.json</v>
      </c>
    </row>
    <row r="35" spans="1:12" x14ac:dyDescent="0.2">
      <c r="H35" s="11" t="str">
        <f t="shared" si="1"/>
        <v>Social Sciences</v>
      </c>
      <c r="I35" s="11" t="str">
        <f t="shared" si="2"/>
        <v>VI</v>
      </c>
      <c r="J35" s="11">
        <f t="shared" si="3"/>
        <v>6</v>
      </c>
      <c r="K35" s="11" t="str">
        <f t="shared" si="4"/>
        <v>Chapter 6: The Beginnings of Indian Civilisation</v>
      </c>
      <c r="L35" s="11" t="str">
        <f t="shared" si="5"/>
        <v>ch_06_20260520_190601.json</v>
      </c>
    </row>
    <row r="36" spans="1:12" x14ac:dyDescent="0.2">
      <c r="H36" s="12" t="str">
        <f t="shared" si="1"/>
        <v>Social Sciences</v>
      </c>
      <c r="I36" s="12" t="str">
        <f t="shared" si="2"/>
        <v>VII</v>
      </c>
      <c r="J36" s="12">
        <f t="shared" si="3"/>
        <v>4</v>
      </c>
      <c r="K36" s="12" t="str">
        <f t="shared" si="4"/>
        <v>New Beginnings - Cities and States</v>
      </c>
      <c r="L36" s="12" t="str">
        <f t="shared" si="5"/>
        <v>ch_04_20260418_110552.json</v>
      </c>
    </row>
    <row r="37" spans="1:12" x14ac:dyDescent="0.2">
      <c r="H37" s="11" t="str">
        <f t="shared" si="1"/>
        <v>Social Sciences</v>
      </c>
      <c r="I37" s="11" t="str">
        <f t="shared" si="2"/>
        <v>VIII</v>
      </c>
      <c r="J37" s="11">
        <f t="shared" si="3"/>
        <v>4</v>
      </c>
      <c r="K37" s="11" t="str">
        <f t="shared" si="4"/>
        <v>Chapter 4: The Colonial Era in India</v>
      </c>
      <c r="L37" s="11" t="str">
        <f t="shared" si="5"/>
        <v>ch_04_20260520_195842.json</v>
      </c>
    </row>
    <row r="38" spans="1:12" x14ac:dyDescent="0.2">
      <c r="H38" s="12" t="str">
        <f t="shared" si="1"/>
        <v>Social Sciences</v>
      </c>
      <c r="I38" s="12" t="str">
        <f t="shared" si="2"/>
        <v>VIII</v>
      </c>
      <c r="J38" s="12">
        <f t="shared" si="3"/>
        <v>5</v>
      </c>
      <c r="K38" s="12" t="str">
        <f t="shared" si="4"/>
        <v>Chapter 5: Universal Franchise and India's Electoral System</v>
      </c>
      <c r="L38" s="12" t="str">
        <f t="shared" si="5"/>
        <v>ch_05_20260521_143011.json</v>
      </c>
    </row>
    <row r="39" spans="1:12" x14ac:dyDescent="0.2">
      <c r="H39" s="11" t="str">
        <f t="shared" si="1"/>
        <v>The World Around Us</v>
      </c>
      <c r="I39" s="11" t="str">
        <f t="shared" si="2"/>
        <v>III</v>
      </c>
      <c r="J39" s="11">
        <f t="shared" si="3"/>
        <v>1</v>
      </c>
      <c r="K39" s="11" t="str">
        <f t="shared" si="4"/>
        <v>Family and Friends</v>
      </c>
      <c r="L39" s="11" t="str">
        <f t="shared" si="5"/>
        <v>ch_01_20260531_132347.json</v>
      </c>
    </row>
    <row r="40" spans="1:12" x14ac:dyDescent="0.2">
      <c r="H40" s="12" t="str">
        <f t="shared" si="1"/>
        <v>The World Around Us</v>
      </c>
      <c r="I40" s="12" t="str">
        <f t="shared" si="2"/>
        <v>IV</v>
      </c>
      <c r="J40" s="12">
        <f t="shared" si="3"/>
        <v>7</v>
      </c>
      <c r="K40" s="12" t="str">
        <f t="shared" si="4"/>
        <v>How Things Work</v>
      </c>
      <c r="L40" s="12" t="str">
        <f t="shared" si="5"/>
        <v>ch_07_20260531_103400.json</v>
      </c>
    </row>
    <row r="41" spans="1:12" x14ac:dyDescent="0.2">
      <c r="H41" s="11" t="str">
        <f t="shared" si="1"/>
        <v>The World Around Us</v>
      </c>
      <c r="I41" s="11" t="str">
        <f t="shared" si="2"/>
        <v>V</v>
      </c>
      <c r="J41" s="11">
        <f t="shared" si="3"/>
        <v>5</v>
      </c>
      <c r="K41" s="11" t="str">
        <f t="shared" si="4"/>
        <v>Our Vibrant Country</v>
      </c>
      <c r="L41" s="11" t="str">
        <f t="shared" si="5"/>
        <v>ch_05_20260531_122055.json</v>
      </c>
    </row>
  </sheetData>
  <autoFilter ref="A1:E34" xr:uid="{00000000-0009-0000-0000-000000000000}"/>
  <dataValidations count="2">
    <dataValidation type="list" allowBlank="1" prompt="Choose a subject to filter, or All" sqref="I3" xr:uid="{00000000-0002-0000-0000-000000000000}">
      <formula1>"All,Science,Mathematics,English,Social Sciences,The World Around Us"</formula1>
      <formula2>0</formula2>
    </dataValidation>
    <dataValidation type="list" allowBlank="1" prompt="Choose a grade to filter, or All" sqref="I5" xr:uid="{00000000-0002-0000-0000-000001000000}">
      <formula1>"All,III,IV,V,VI,VII,VIII,IX"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kumar radhakrishnan</cp:lastModifiedBy>
  <cp:revision>0</cp:revision>
  <dcterms:created xsi:type="dcterms:W3CDTF">2026-07-01T12:33:17Z</dcterms:created>
  <dcterms:modified xsi:type="dcterms:W3CDTF">2026-07-08T05:51:26Z</dcterms:modified>
  <dc:language>en-US</dc:language>
</cp:coreProperties>
</file>