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Chapters" sheetId="2" state="visible" r:id="rId4"/>
    <sheet name="budget" sheetId="3" state="visible" r:id="rId5"/>
  </sheets>
  <definedNames>
    <definedName function="false" hidden="true" localSheetId="2" name="_xlnm._FilterDatabase" vbProcedure="false">budget!$A$1:$C$46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<sst xmlns="http://schemas.openxmlformats.org/spreadsheetml/2006/main" count="1467" uniqueCount="701">
  <si>
    <t xml:space="preserve">Chapter-wise Period Allocation</t>
  </si>
  <si>
    <t xml:space="preserve">Pick a subject and class, then type your annual teaching budget (periods for the year). Aruvi spreads the budget across the chapters by each chapter's effort weight - heavier chapters get more periods.</t>
  </si>
  <si>
    <t xml:space="preserve">Subject</t>
  </si>
  <si>
    <t xml:space="preserve">English</t>
  </si>
  <si>
    <t xml:space="preserve">Duration assumption</t>
  </si>
  <si>
    <t xml:space="preserve">Class</t>
  </si>
  <si>
    <t xml:space="preserve">III</t>
  </si>
  <si>
    <t xml:space="preserve">40 min — classes III–VII</t>
  </si>
  <si>
    <t xml:space="preserve">Annual budget</t>
  </si>
  <si>
    <t xml:space="preserve">periods / year</t>
  </si>
  <si>
    <t xml:space="preserve">45 min — class VIII</t>
  </si>
  <si>
    <t xml:space="preserve">50 min — class IX</t>
  </si>
  <si>
    <t xml:space="preserve">Ch #</t>
  </si>
  <si>
    <t xml:space="preserve">Chapter title</t>
  </si>
  <si>
    <t xml:space="preserve">Weight</t>
  </si>
  <si>
    <t xml:space="preserve">Periods</t>
  </si>
  <si>
    <t xml:space="preserve">Total</t>
  </si>
  <si>
    <t xml:space="preserve">Key</t>
  </si>
  <si>
    <t xml:space="preserve">Within #</t>
  </si>
  <si>
    <t xml:space="preserve">Fun with Friends (Fun with Friends)</t>
  </si>
  <si>
    <t xml:space="preserve">English|III|1</t>
  </si>
  <si>
    <t xml:space="preserve">Colours (Fun with Friends)</t>
  </si>
  <si>
    <t xml:space="preserve">English|III|2</t>
  </si>
  <si>
    <t xml:space="preserve">Badal and Moti (Badal and Moti)</t>
  </si>
  <si>
    <t xml:space="preserve">English|III|3</t>
  </si>
  <si>
    <t xml:space="preserve">Best Friends (Best Friends)</t>
  </si>
  <si>
    <t xml:space="preserve">English|III|4</t>
  </si>
  <si>
    <t xml:space="preserve">What do You do? (Best Friends)</t>
  </si>
  <si>
    <t xml:space="preserve">English|III|5</t>
  </si>
  <si>
    <t xml:space="preserve">Toys and Games (Picture Reading) (Toys and Games)</t>
  </si>
  <si>
    <t xml:space="preserve">English|III|6</t>
  </si>
  <si>
    <t xml:space="preserve">Out in the Garden (Toys and Games)</t>
  </si>
  <si>
    <t xml:space="preserve">English|III|7</t>
  </si>
  <si>
    <t xml:space="preserve">Talking Toys (Talking Toys)</t>
  </si>
  <si>
    <t xml:space="preserve">English|III|8</t>
  </si>
  <si>
    <t xml:space="preserve">Paper Boats (Paper Boats)</t>
  </si>
  <si>
    <t xml:space="preserve">English|III|9</t>
  </si>
  <si>
    <t xml:space="preserve">Good Food — Picture Reading (The Big Laddoo)</t>
  </si>
  <si>
    <t xml:space="preserve">English|III|10</t>
  </si>
  <si>
    <t xml:space="preserve">The Big Laddoo (The Big Laddoo)</t>
  </si>
  <si>
    <t xml:space="preserve">English|III|11</t>
  </si>
  <si>
    <t xml:space="preserve">Thank God! (Thank God!)</t>
  </si>
  <si>
    <t xml:space="preserve">English|III|12</t>
  </si>
  <si>
    <t xml:space="preserve">Madhu's Wish (Madhu's Wish)</t>
  </si>
  <si>
    <t xml:space="preserve">English|III|13</t>
  </si>
  <si>
    <t xml:space="preserve">The Sky — Picture Reading (Night)</t>
  </si>
  <si>
    <t xml:space="preserve">English|III|14</t>
  </si>
  <si>
    <t xml:space="preserve">Night (Night)</t>
  </si>
  <si>
    <t xml:space="preserve">English|III|15</t>
  </si>
  <si>
    <t xml:space="preserve">Chanda Mama Counts the Stars (Chanda Mama Counts the Stars)</t>
  </si>
  <si>
    <t xml:space="preserve">English|III|16</t>
  </si>
  <si>
    <t xml:space="preserve">Chandrayaan (Chandrayaan)</t>
  </si>
  <si>
    <t xml:space="preserve">English|III|17</t>
  </si>
  <si>
    <t xml:space="preserve">IV</t>
  </si>
  <si>
    <t xml:space="preserve">Together We Can</t>
  </si>
  <si>
    <t xml:space="preserve">English|IV|1</t>
  </si>
  <si>
    <t xml:space="preserve">The Tinkling Bells</t>
  </si>
  <si>
    <t xml:space="preserve">English|IV|2</t>
  </si>
  <si>
    <t xml:space="preserve">Be Smart, Be Safe</t>
  </si>
  <si>
    <t xml:space="preserve">English|IV|3</t>
  </si>
  <si>
    <t xml:space="preserve">One Thing at a Time</t>
  </si>
  <si>
    <t xml:space="preserve">English|IV|4</t>
  </si>
  <si>
    <t xml:space="preserve">The Old Stag</t>
  </si>
  <si>
    <t xml:space="preserve">English|IV|5</t>
  </si>
  <si>
    <t xml:space="preserve">Braille</t>
  </si>
  <si>
    <t xml:space="preserve">English|IV|6</t>
  </si>
  <si>
    <t xml:space="preserve">Fit Body, Fit Mind, Fit Nation</t>
  </si>
  <si>
    <t xml:space="preserve">English|IV|7</t>
  </si>
  <si>
    <t xml:space="preserve">The Lagori Champions</t>
  </si>
  <si>
    <t xml:space="preserve">English|IV|8</t>
  </si>
  <si>
    <t xml:space="preserve">Hekko</t>
  </si>
  <si>
    <t xml:space="preserve">English|IV|9</t>
  </si>
  <si>
    <t xml:space="preserve">The Swing</t>
  </si>
  <si>
    <t xml:space="preserve">English|IV|10</t>
  </si>
  <si>
    <t xml:space="preserve">A Journey to the Magical Mountains</t>
  </si>
  <si>
    <t xml:space="preserve">English|IV|11</t>
  </si>
  <si>
    <t xml:space="preserve">Maheshwar</t>
  </si>
  <si>
    <t xml:space="preserve">English|IV|12</t>
  </si>
  <si>
    <t xml:space="preserve">V</t>
  </si>
  <si>
    <t xml:space="preserve">Papa's Spectacles</t>
  </si>
  <si>
    <t xml:space="preserve">English|V|1</t>
  </si>
  <si>
    <t xml:space="preserve">Gone with the Scooter</t>
  </si>
  <si>
    <t xml:space="preserve">English|V|2</t>
  </si>
  <si>
    <t xml:space="preserve">The Rainbow</t>
  </si>
  <si>
    <t xml:space="preserve">English|V|3</t>
  </si>
  <si>
    <t xml:space="preserve">The Wise Parrot</t>
  </si>
  <si>
    <t xml:space="preserve">English|V|4</t>
  </si>
  <si>
    <t xml:space="preserve">The Frog</t>
  </si>
  <si>
    <t xml:space="preserve">English|V|5</t>
  </si>
  <si>
    <t xml:space="preserve">What a Tank!</t>
  </si>
  <si>
    <t xml:space="preserve">English|V|6</t>
  </si>
  <si>
    <t xml:space="preserve">Gilli Danda</t>
  </si>
  <si>
    <t xml:space="preserve">English|V|7</t>
  </si>
  <si>
    <t xml:space="preserve">The Decision of the Panchayat</t>
  </si>
  <si>
    <t xml:space="preserve">English|V|8</t>
  </si>
  <si>
    <t xml:space="preserve">Vocation</t>
  </si>
  <si>
    <t xml:space="preserve">English|V|9</t>
  </si>
  <si>
    <t xml:space="preserve">Glass Bangles</t>
  </si>
  <si>
    <t xml:space="preserve">English|V|10</t>
  </si>
  <si>
    <t xml:space="preserve">VI</t>
  </si>
  <si>
    <t xml:space="preserve">A Bottle of Dew (Fables and Folk Tales)</t>
  </si>
  <si>
    <t xml:space="preserve">English|VI|1</t>
  </si>
  <si>
    <t xml:space="preserve">The Raven and the Fox (Fables and Folk Tales)</t>
  </si>
  <si>
    <t xml:space="preserve">English|VI|2</t>
  </si>
  <si>
    <t xml:space="preserve">Rama to the Rescue (Fables and Folk Tales)</t>
  </si>
  <si>
    <t xml:space="preserve">English|VI|3</t>
  </si>
  <si>
    <t xml:space="preserve">The Unlikely Best Friends (Friendship)</t>
  </si>
  <si>
    <t xml:space="preserve">English|VI|4</t>
  </si>
  <si>
    <t xml:space="preserve">A Friend's Prayer (Friendship)</t>
  </si>
  <si>
    <t xml:space="preserve">English|VI|5</t>
  </si>
  <si>
    <t xml:space="preserve">The Chair (Friendship)</t>
  </si>
  <si>
    <t xml:space="preserve">English|VI|6</t>
  </si>
  <si>
    <t xml:space="preserve">Neem Baba (Nurturing Nature)</t>
  </si>
  <si>
    <t xml:space="preserve">English|VI|7</t>
  </si>
  <si>
    <t xml:space="preserve">What a Bird Thought (Nurturing Nature)</t>
  </si>
  <si>
    <t xml:space="preserve">English|VI|8</t>
  </si>
  <si>
    <t xml:space="preserve">Spices that Heal Us (Nurturing Nature)</t>
  </si>
  <si>
    <t xml:space="preserve">English|VI|9</t>
  </si>
  <si>
    <t xml:space="preserve">Change of Heart (Sports and Wellness)</t>
  </si>
  <si>
    <t xml:space="preserve">English|VI|10</t>
  </si>
  <si>
    <t xml:space="preserve">The Winner (Sports and Wellness)</t>
  </si>
  <si>
    <t xml:space="preserve">English|VI|11</t>
  </si>
  <si>
    <t xml:space="preserve">Yoga — A Way of Life (Sports and Wellness)</t>
  </si>
  <si>
    <t xml:space="preserve">English|VI|12</t>
  </si>
  <si>
    <t xml:space="preserve">Kalakritiyon ka Bharat (Culture and Tradition)</t>
  </si>
  <si>
    <t xml:space="preserve">English|VI|13</t>
  </si>
  <si>
    <t xml:space="preserve">The Kites (Culture and Tradition)</t>
  </si>
  <si>
    <t xml:space="preserve">English|VI|14</t>
  </si>
  <si>
    <t xml:space="preserve">Ila Sachani: Embroidering Dreams with her Feet (Culture and Tradition)</t>
  </si>
  <si>
    <t xml:space="preserve">English|VI|15</t>
  </si>
  <si>
    <t xml:space="preserve">National War Memorial (Culture and Tradition)</t>
  </si>
  <si>
    <t xml:space="preserve">English|VI|16</t>
  </si>
  <si>
    <t xml:space="preserve">VII</t>
  </si>
  <si>
    <t xml:space="preserve">The Day the River Spoke (Learning Together)</t>
  </si>
  <si>
    <t xml:space="preserve">English|VII|1</t>
  </si>
  <si>
    <t xml:space="preserve">Try Again (Learning Together)</t>
  </si>
  <si>
    <t xml:space="preserve">English|VII|2</t>
  </si>
  <si>
    <t xml:space="preserve">Three Days to See (Learning Together)</t>
  </si>
  <si>
    <t xml:space="preserve">English|VII|3</t>
  </si>
  <si>
    <t xml:space="preserve">Animals, Birds, and Dr. Dolittle (Wit and Humour)</t>
  </si>
  <si>
    <t xml:space="preserve">English|VII|4</t>
  </si>
  <si>
    <t xml:space="preserve">A Funny Man (Wit and Humour)</t>
  </si>
  <si>
    <t xml:space="preserve">English|VII|5</t>
  </si>
  <si>
    <t xml:space="preserve">Say the Right Thing (Wit and Humour)</t>
  </si>
  <si>
    <t xml:space="preserve">English|VII|6</t>
  </si>
  <si>
    <t xml:space="preserve">My Brother's Greatest Invention (Dreams and Discoveries)</t>
  </si>
  <si>
    <t xml:space="preserve">English|VII|7</t>
  </si>
  <si>
    <t xml:space="preserve">Paper Boats (Dreams and Discoveries)</t>
  </si>
  <si>
    <t xml:space="preserve">English|VII|8</t>
  </si>
  <si>
    <t xml:space="preserve">North, South, East, West (Dreams and Discoveries)</t>
  </si>
  <si>
    <t xml:space="preserve">English|VII|9</t>
  </si>
  <si>
    <t xml:space="preserve">The Tunnel (Travel and Adventure)</t>
  </si>
  <si>
    <t xml:space="preserve">English|VII|10</t>
  </si>
  <si>
    <t xml:space="preserve">Travel (Travel and Adventure)</t>
  </si>
  <si>
    <t xml:space="preserve">English|VII|11</t>
  </si>
  <si>
    <t xml:space="preserve">Conquering the Summit (Travel and Adventure)</t>
  </si>
  <si>
    <t xml:space="preserve">English|VII|12</t>
  </si>
  <si>
    <t xml:space="preserve">A Homage to Our Brave Soldiers (Bravehearts)</t>
  </si>
  <si>
    <t xml:space="preserve">English|VII|13</t>
  </si>
  <si>
    <t xml:space="preserve">My Dear Soldiers (Bravehearts)</t>
  </si>
  <si>
    <t xml:space="preserve">English|VII|14</t>
  </si>
  <si>
    <t xml:space="preserve">Rani Abbakka (Bravehearts)</t>
  </si>
  <si>
    <t xml:space="preserve">English|VII|15</t>
  </si>
  <si>
    <t xml:space="preserve">VIII</t>
  </si>
  <si>
    <t xml:space="preserve">The Wit that Won Hearts (Wit and Wisdom)</t>
  </si>
  <si>
    <t xml:space="preserve">English|VIII|1</t>
  </si>
  <si>
    <t xml:space="preserve">A Concrete Example (Wit and Wisdom)</t>
  </si>
  <si>
    <t xml:space="preserve">English|VIII|2</t>
  </si>
  <si>
    <t xml:space="preserve">Wisdom Paves the Way (Wit and Wisdom)</t>
  </si>
  <si>
    <t xml:space="preserve">English|VIII|3</t>
  </si>
  <si>
    <t xml:space="preserve">A Tale of Valour — Major Somnath Sharma and the Battle of Badgam (Values and Dispositions)</t>
  </si>
  <si>
    <t xml:space="preserve">English|VIII|4</t>
  </si>
  <si>
    <t xml:space="preserve">Somebody's Mother (Values and Dispositions)</t>
  </si>
  <si>
    <t xml:space="preserve">English|VIII|5</t>
  </si>
  <si>
    <t xml:space="preserve">Verghese Kurien — I Too Had A Dream (Values and Dispositions)</t>
  </si>
  <si>
    <t xml:space="preserve">English|VIII|6</t>
  </si>
  <si>
    <t xml:space="preserve">The Case of the Fifth Word (Mystery and Magic)</t>
  </si>
  <si>
    <t xml:space="preserve">English|VIII|7</t>
  </si>
  <si>
    <t xml:space="preserve">The Magic Brush of Dreams (Mystery and Magic)</t>
  </si>
  <si>
    <t xml:space="preserve">English|VIII|8</t>
  </si>
  <si>
    <t xml:space="preserve">Spectacular Wonders (Mystery and Magic)</t>
  </si>
  <si>
    <t xml:space="preserve">English|VIII|9</t>
  </si>
  <si>
    <t xml:space="preserve">The Cherry Tree (Environment)</t>
  </si>
  <si>
    <t xml:space="preserve">English|VIII|10</t>
  </si>
  <si>
    <t xml:space="preserve">Harvest Hymn (Environment)</t>
  </si>
  <si>
    <t xml:space="preserve">English|VIII|11</t>
  </si>
  <si>
    <t xml:space="preserve">Waiting for the Rain (Environment)</t>
  </si>
  <si>
    <t xml:space="preserve">English|VIII|12</t>
  </si>
  <si>
    <t xml:space="preserve">Feathered Friend (Science and Curiosity)</t>
  </si>
  <si>
    <t xml:space="preserve">English|VIII|13</t>
  </si>
  <si>
    <t xml:space="preserve">Magnifying Glass (Science and Curiosity)</t>
  </si>
  <si>
    <t xml:space="preserve">English|VIII|14</t>
  </si>
  <si>
    <t xml:space="preserve">Bibha Chowdhuri — The Beam of Light that Lit the Path for Women in Indian Science (Science and Curiosity)</t>
  </si>
  <si>
    <t xml:space="preserve">English|VIII|15</t>
  </si>
  <si>
    <t xml:space="preserve">IX</t>
  </si>
  <si>
    <t xml:space="preserve">How I Taught My Grandmother to Read (How I Taught My Grandmother to Read)</t>
  </si>
  <si>
    <t xml:space="preserve">English|IX|1</t>
  </si>
  <si>
    <t xml:space="preserve">Bharat Our Land (How I Taught My Grandmother to Read)</t>
  </si>
  <si>
    <t xml:space="preserve">English|IX|2</t>
  </si>
  <si>
    <t xml:space="preserve">The Pot Maker (The Pot Maker)</t>
  </si>
  <si>
    <t xml:space="preserve">English|IX|3</t>
  </si>
  <si>
    <t xml:space="preserve">Gifts of Grace: Honouring Our Vocations (The Pot Maker)</t>
  </si>
  <si>
    <t xml:space="preserve">English|IX|4</t>
  </si>
  <si>
    <t xml:space="preserve">Winds of Change (Winds of Change)</t>
  </si>
  <si>
    <t xml:space="preserve">English|IX|5</t>
  </si>
  <si>
    <t xml:space="preserve">Canvas of Soil (Winds of Change)</t>
  </si>
  <si>
    <t xml:space="preserve">English|IX|6</t>
  </si>
  <si>
    <t xml:space="preserve">Vitamin-M (Vitamin-M)</t>
  </si>
  <si>
    <t xml:space="preserve">English|IX|7</t>
  </si>
  <si>
    <t xml:space="preserve">I Cannot Remember My Mother (Vitamin-M)</t>
  </si>
  <si>
    <t xml:space="preserve">English|IX|8</t>
  </si>
  <si>
    <t xml:space="preserve">The World of Limitless Possibilities (The World of Limitless Possibilities)</t>
  </si>
  <si>
    <t xml:space="preserve">English|IX|9</t>
  </si>
  <si>
    <t xml:space="preserve">Nine Gold Medals (The World of Limitless Possibilities)</t>
  </si>
  <si>
    <t xml:space="preserve">English|IX|10</t>
  </si>
  <si>
    <t xml:space="preserve">Twin Melodies (Twin Melodies)</t>
  </si>
  <si>
    <t xml:space="preserve">English|IX|11</t>
  </si>
  <si>
    <t xml:space="preserve">A Friend Found in Music (Twin Melodies)</t>
  </si>
  <si>
    <t xml:space="preserve">English|IX|12</t>
  </si>
  <si>
    <t xml:space="preserve">Carrier of Words (Carrier of Words)</t>
  </si>
  <si>
    <t xml:space="preserve">English|IX|13</t>
  </si>
  <si>
    <t xml:space="preserve">Words (Carrier of Words)</t>
  </si>
  <si>
    <t xml:space="preserve">English|IX|14</t>
  </si>
  <si>
    <t xml:space="preserve">Follow That Dream (Follow That Dream)</t>
  </si>
  <si>
    <t xml:space="preserve">English|IX|15</t>
  </si>
  <si>
    <t xml:space="preserve">Believe in Yourself (Follow That Dream)</t>
  </si>
  <si>
    <t xml:space="preserve">English|IX|16</t>
  </si>
  <si>
    <t xml:space="preserve">Mathematics</t>
  </si>
  <si>
    <t xml:space="preserve">What's in a Name?</t>
  </si>
  <si>
    <t xml:space="preserve">Mathematics|III|1</t>
  </si>
  <si>
    <t xml:space="preserve">Toy Joy</t>
  </si>
  <si>
    <t xml:space="preserve">Mathematics|III|2</t>
  </si>
  <si>
    <t xml:space="preserve">Double Century</t>
  </si>
  <si>
    <t xml:space="preserve">Mathematics|III|3</t>
  </si>
  <si>
    <t xml:space="preserve">Vacation with My Nani Maa</t>
  </si>
  <si>
    <t xml:space="preserve">Mathematics|III|4</t>
  </si>
  <si>
    <t xml:space="preserve">Fun with Shapes</t>
  </si>
  <si>
    <t xml:space="preserve">Mathematics|III|5</t>
  </si>
  <si>
    <t xml:space="preserve">House of Hundreds - I</t>
  </si>
  <si>
    <t xml:space="preserve">Mathematics|III|6</t>
  </si>
  <si>
    <t xml:space="preserve">Raksha Bandhan</t>
  </si>
  <si>
    <t xml:space="preserve">Mathematics|III|7</t>
  </si>
  <si>
    <t xml:space="preserve">Fair Share</t>
  </si>
  <si>
    <t xml:space="preserve">Mathematics|III|8</t>
  </si>
  <si>
    <t xml:space="preserve">House of Hundreds - II</t>
  </si>
  <si>
    <t xml:space="preserve">Mathematics|III|9</t>
  </si>
  <si>
    <t xml:space="preserve">Fun at Class Party!</t>
  </si>
  <si>
    <t xml:space="preserve">Mathematics|III|10</t>
  </si>
  <si>
    <t xml:space="preserve">Filling and Lifting</t>
  </si>
  <si>
    <t xml:space="preserve">Mathematics|III|11</t>
  </si>
  <si>
    <t xml:space="preserve">Give and Take</t>
  </si>
  <si>
    <t xml:space="preserve">Mathematics|III|12</t>
  </si>
  <si>
    <t xml:space="preserve">Time Goes On</t>
  </si>
  <si>
    <t xml:space="preserve">Mathematics|III|13</t>
  </si>
  <si>
    <t xml:space="preserve">The Surajkund Fair</t>
  </si>
  <si>
    <t xml:space="preserve">Mathematics|III|14</t>
  </si>
  <si>
    <t xml:space="preserve">Shapes Around Us</t>
  </si>
  <si>
    <t xml:space="preserve">Mathematics|IV|1</t>
  </si>
  <si>
    <t xml:space="preserve">Hide and Seek</t>
  </si>
  <si>
    <t xml:space="preserve">Mathematics|IV|2</t>
  </si>
  <si>
    <t xml:space="preserve">Patterns Around Us</t>
  </si>
  <si>
    <t xml:space="preserve">Mathematics|IV|3</t>
  </si>
  <si>
    <t xml:space="preserve">Thousands Around Us</t>
  </si>
  <si>
    <t xml:space="preserve">Mathematics|IV|4</t>
  </si>
  <si>
    <t xml:space="preserve">Sharing and Measuring</t>
  </si>
  <si>
    <t xml:space="preserve">Mathematics|IV|5</t>
  </si>
  <si>
    <t xml:space="preserve">Measuring Length</t>
  </si>
  <si>
    <t xml:space="preserve">Mathematics|IV|6</t>
  </si>
  <si>
    <t xml:space="preserve">The Cleanest Village</t>
  </si>
  <si>
    <t xml:space="preserve">Mathematics|IV|7</t>
  </si>
  <si>
    <t xml:space="preserve">Weigh It, Pour It</t>
  </si>
  <si>
    <t xml:space="preserve">Mathematics|IV|8</t>
  </si>
  <si>
    <t xml:space="preserve">Equal Groups</t>
  </si>
  <si>
    <t xml:space="preserve">Mathematics|IV|9</t>
  </si>
  <si>
    <t xml:space="preserve">Elephants, Tigers, and Leopards</t>
  </si>
  <si>
    <t xml:space="preserve">Mathematics|IV|10</t>
  </si>
  <si>
    <t xml:space="preserve">Fun with Symmetry</t>
  </si>
  <si>
    <t xml:space="preserve">Mathematics|IV|11</t>
  </si>
  <si>
    <t xml:space="preserve">Ticking Clocks and Turning Calendar</t>
  </si>
  <si>
    <t xml:space="preserve">Mathematics|IV|12</t>
  </si>
  <si>
    <t xml:space="preserve">The Transport Museum</t>
  </si>
  <si>
    <t xml:space="preserve">Mathematics|IV|13</t>
  </si>
  <si>
    <t xml:space="preserve">Data Handling</t>
  </si>
  <si>
    <t xml:space="preserve">Mathematics|IV|14</t>
  </si>
  <si>
    <t xml:space="preserve">We the Travellers—I</t>
  </si>
  <si>
    <t xml:space="preserve">Mathematics|V|1</t>
  </si>
  <si>
    <t xml:space="preserve">Fractions</t>
  </si>
  <si>
    <t xml:space="preserve">Mathematics|V|2</t>
  </si>
  <si>
    <t xml:space="preserve">Angles as Turns</t>
  </si>
  <si>
    <t xml:space="preserve">Mathematics|V|3</t>
  </si>
  <si>
    <t xml:space="preserve">We the Travellers — II</t>
  </si>
  <si>
    <t xml:space="preserve">Mathematics|V|4</t>
  </si>
  <si>
    <t xml:space="preserve">Far and Near</t>
  </si>
  <si>
    <t xml:space="preserve">Mathematics|V|5</t>
  </si>
  <si>
    <t xml:space="preserve">The Dairy Farm</t>
  </si>
  <si>
    <t xml:space="preserve">Mathematics|V|6</t>
  </si>
  <si>
    <t xml:space="preserve">Shapes and Patterns</t>
  </si>
  <si>
    <t xml:space="preserve">Mathematics|V|7</t>
  </si>
  <si>
    <t xml:space="preserve">Weight and Capacity</t>
  </si>
  <si>
    <t xml:space="preserve">Mathematics|V|8</t>
  </si>
  <si>
    <t xml:space="preserve">Coconut Farm</t>
  </si>
  <si>
    <t xml:space="preserve">Mathematics|V|9</t>
  </si>
  <si>
    <t xml:space="preserve">Symmetrical Designs</t>
  </si>
  <si>
    <t xml:space="preserve">Mathematics|V|10</t>
  </si>
  <si>
    <t xml:space="preserve">Grandmother's Quilt</t>
  </si>
  <si>
    <t xml:space="preserve">Mathematics|V|11</t>
  </si>
  <si>
    <t xml:space="preserve">Racing Seconds</t>
  </si>
  <si>
    <t xml:space="preserve">Mathematics|V|12</t>
  </si>
  <si>
    <t xml:space="preserve">Animal Jumps</t>
  </si>
  <si>
    <t xml:space="preserve">Mathematics|V|13</t>
  </si>
  <si>
    <t xml:space="preserve">Maps And Locations</t>
  </si>
  <si>
    <t xml:space="preserve">Mathematics|V|14</t>
  </si>
  <si>
    <t xml:space="preserve">Data Through Pictures</t>
  </si>
  <si>
    <t xml:space="preserve">Mathematics|V|15</t>
  </si>
  <si>
    <t xml:space="preserve">Patterns in Mathematics</t>
  </si>
  <si>
    <t xml:space="preserve">Mathematics|VI|1</t>
  </si>
  <si>
    <t xml:space="preserve">Lines and Angles</t>
  </si>
  <si>
    <t xml:space="preserve">Mathematics|VI|2</t>
  </si>
  <si>
    <t xml:space="preserve">Number Play</t>
  </si>
  <si>
    <t xml:space="preserve">Mathematics|VI|3</t>
  </si>
  <si>
    <t xml:space="preserve">Data Handling and Presentation</t>
  </si>
  <si>
    <t xml:space="preserve">Mathematics|VI|4</t>
  </si>
  <si>
    <t xml:space="preserve">Prime Time</t>
  </si>
  <si>
    <t xml:space="preserve">Mathematics|VI|5</t>
  </si>
  <si>
    <t xml:space="preserve">Perimeter and Area</t>
  </si>
  <si>
    <t xml:space="preserve">Mathematics|VI|6</t>
  </si>
  <si>
    <t xml:space="preserve">Mathematics|VI|7</t>
  </si>
  <si>
    <t xml:space="preserve">Playing with Constructions</t>
  </si>
  <si>
    <t xml:space="preserve">Mathematics|VI|8</t>
  </si>
  <si>
    <t xml:space="preserve">Symmetry</t>
  </si>
  <si>
    <t xml:space="preserve">Mathematics|VI|9</t>
  </si>
  <si>
    <t xml:space="preserve">The Other Side of Zero</t>
  </si>
  <si>
    <t xml:space="preserve">Mathematics|VI|10</t>
  </si>
  <si>
    <t xml:space="preserve">Large Numbers Around Us</t>
  </si>
  <si>
    <t xml:space="preserve">Mathematics|VII|1</t>
  </si>
  <si>
    <t xml:space="preserve">Arithmetic Expressions</t>
  </si>
  <si>
    <t xml:space="preserve">Mathematics|VII|2</t>
  </si>
  <si>
    <t xml:space="preserve">A Peek Beyond the Point</t>
  </si>
  <si>
    <t xml:space="preserve">Mathematics|VII|3</t>
  </si>
  <si>
    <t xml:space="preserve">Expressions Using Letter-Numbers</t>
  </si>
  <si>
    <t xml:space="preserve">Mathematics|VII|4</t>
  </si>
  <si>
    <t xml:space="preserve">Parallel and Intersecting Lines</t>
  </si>
  <si>
    <t xml:space="preserve">Mathematics|VII|5</t>
  </si>
  <si>
    <t xml:space="preserve">Mathematics|VII|6</t>
  </si>
  <si>
    <t xml:space="preserve">A Tale of Three Intersecting Lines</t>
  </si>
  <si>
    <t xml:space="preserve">Mathematics|VII|7</t>
  </si>
  <si>
    <t xml:space="preserve">Working with Fractions</t>
  </si>
  <si>
    <t xml:space="preserve">Mathematics|VII|8</t>
  </si>
  <si>
    <t xml:space="preserve">Geometric Twins</t>
  </si>
  <si>
    <t xml:space="preserve">Mathematics|VII|9</t>
  </si>
  <si>
    <t xml:space="preserve">Operations with Integers</t>
  </si>
  <si>
    <t xml:space="preserve">Mathematics|VII|10</t>
  </si>
  <si>
    <t xml:space="preserve">Finding Common Ground</t>
  </si>
  <si>
    <t xml:space="preserve">Mathematics|VII|11</t>
  </si>
  <si>
    <t xml:space="preserve">Another Peek Beyond the Point</t>
  </si>
  <si>
    <t xml:space="preserve">Mathematics|VII|12</t>
  </si>
  <si>
    <t xml:space="preserve">Connecting the Dots</t>
  </si>
  <si>
    <t xml:space="preserve">Mathematics|VII|13</t>
  </si>
  <si>
    <t xml:space="preserve">Constructions and Tilings</t>
  </si>
  <si>
    <t xml:space="preserve">Mathematics|VII|14</t>
  </si>
  <si>
    <t xml:space="preserve">Finding the Unknown</t>
  </si>
  <si>
    <t xml:space="preserve">Mathematics|VII|15</t>
  </si>
  <si>
    <t xml:space="preserve">A Square and A Cube</t>
  </si>
  <si>
    <t xml:space="preserve">Mathematics|VIII|1</t>
  </si>
  <si>
    <t xml:space="preserve">Power Play</t>
  </si>
  <si>
    <t xml:space="preserve">Mathematics|VIII|2</t>
  </si>
  <si>
    <t xml:space="preserve">A Story of Numbers</t>
  </si>
  <si>
    <t xml:space="preserve">Mathematics|VIII|3</t>
  </si>
  <si>
    <t xml:space="preserve">Quadrilaterals</t>
  </si>
  <si>
    <t xml:space="preserve">Mathematics|VIII|4</t>
  </si>
  <si>
    <t xml:space="preserve">Mathematics|VIII|5</t>
  </si>
  <si>
    <t xml:space="preserve">We Distribute, Yet Things Multiply</t>
  </si>
  <si>
    <t xml:space="preserve">Mathematics|VIII|6</t>
  </si>
  <si>
    <t xml:space="preserve">Proportional Reasoning-1</t>
  </si>
  <si>
    <t xml:space="preserve">Mathematics|VIII|7</t>
  </si>
  <si>
    <t xml:space="preserve">Fractions in Disguise</t>
  </si>
  <si>
    <t xml:space="preserve">Mathematics|VIII|8</t>
  </si>
  <si>
    <t xml:space="preserve">The Baudhāyana-Pythagoras Theorem</t>
  </si>
  <si>
    <t xml:space="preserve">Mathematics|VIII|9</t>
  </si>
  <si>
    <t xml:space="preserve">Proportional Reasoning–2</t>
  </si>
  <si>
    <t xml:space="preserve">Mathematics|VIII|10</t>
  </si>
  <si>
    <t xml:space="preserve">Exploring Some Geometric Themes</t>
  </si>
  <si>
    <t xml:space="preserve">Mathematics|VIII|11</t>
  </si>
  <si>
    <t xml:space="preserve">Tales by Dots and Lines</t>
  </si>
  <si>
    <t xml:space="preserve">Mathematics|VIII|12</t>
  </si>
  <si>
    <t xml:space="preserve">Algebra Play</t>
  </si>
  <si>
    <t xml:space="preserve">Mathematics|VIII|13</t>
  </si>
  <si>
    <t xml:space="preserve">Area</t>
  </si>
  <si>
    <t xml:space="preserve">Mathematics|VIII|14</t>
  </si>
  <si>
    <t xml:space="preserve">Orienting Yourself: The Use of Coordinates</t>
  </si>
  <si>
    <t xml:space="preserve">Mathematics|IX|1</t>
  </si>
  <si>
    <t xml:space="preserve">Introduction to Linear Polynomials</t>
  </si>
  <si>
    <t xml:space="preserve">Mathematics|IX|2</t>
  </si>
  <si>
    <t xml:space="preserve">The World of Numbers</t>
  </si>
  <si>
    <t xml:space="preserve">Mathematics|IX|3</t>
  </si>
  <si>
    <t xml:space="preserve">Exploring Algebraic Identities</t>
  </si>
  <si>
    <t xml:space="preserve">Mathematics|IX|4</t>
  </si>
  <si>
    <t xml:space="preserve">I'm Up and Down, and Round and Round</t>
  </si>
  <si>
    <t xml:space="preserve">Mathematics|IX|5</t>
  </si>
  <si>
    <t xml:space="preserve">Measuring Space: Perimeter and Area</t>
  </si>
  <si>
    <t xml:space="preserve">Mathematics|IX|6</t>
  </si>
  <si>
    <t xml:space="preserve">The Mathematics of Maybe: Introduction to Probability</t>
  </si>
  <si>
    <t xml:space="preserve">Mathematics|IX|7</t>
  </si>
  <si>
    <t xml:space="preserve">Predicting What Comes Next: Exploring Sequences and Progressions</t>
  </si>
  <si>
    <t xml:space="preserve">Mathematics|IX|8</t>
  </si>
  <si>
    <t xml:space="preserve">Chapter 9: (Placeholder — awaiting NCERT release)</t>
  </si>
  <si>
    <t xml:space="preserve">Mathematics|IX|9</t>
  </si>
  <si>
    <t xml:space="preserve">Chapter 10: (Placeholder — awaiting NCERT release)</t>
  </si>
  <si>
    <t xml:space="preserve">Mathematics|IX|10</t>
  </si>
  <si>
    <t xml:space="preserve">Chapter 11: (Placeholder — awaiting NCERT release)</t>
  </si>
  <si>
    <t xml:space="preserve">Mathematics|IX|11</t>
  </si>
  <si>
    <t xml:space="preserve">Chapter 12: (Placeholder — awaiting NCERT release)</t>
  </si>
  <si>
    <t xml:space="preserve">Mathematics|IX|12</t>
  </si>
  <si>
    <t xml:space="preserve">Chapter 13: (Placeholder — awaiting NCERT release)</t>
  </si>
  <si>
    <t xml:space="preserve">Mathematics|IX|13</t>
  </si>
  <si>
    <t xml:space="preserve">Chapter 14: (Placeholder — awaiting NCERT release)</t>
  </si>
  <si>
    <t xml:space="preserve">Mathematics|IX|14</t>
  </si>
  <si>
    <t xml:space="preserve">Chapter 15: (Placeholder — awaiting NCERT release)</t>
  </si>
  <si>
    <t xml:space="preserve">Mathematics|IX|15</t>
  </si>
  <si>
    <t xml:space="preserve">Chapter 16: (Placeholder — awaiting NCERT release)</t>
  </si>
  <si>
    <t xml:space="preserve">Mathematics|IX|16</t>
  </si>
  <si>
    <t xml:space="preserve">Science</t>
  </si>
  <si>
    <t xml:space="preserve">The Wonderful World of Science</t>
  </si>
  <si>
    <t xml:space="preserve">Science|VI|1</t>
  </si>
  <si>
    <t xml:space="preserve">Diversity in the Living World</t>
  </si>
  <si>
    <t xml:space="preserve">Science|VI|2</t>
  </si>
  <si>
    <t xml:space="preserve">Mindful Eating: A Path to a Healthy Body</t>
  </si>
  <si>
    <t xml:space="preserve">Science|VI|3</t>
  </si>
  <si>
    <t xml:space="preserve">Exploring Magnets</t>
  </si>
  <si>
    <t xml:space="preserve">Science|VI|4</t>
  </si>
  <si>
    <t xml:space="preserve">Measurement of Length and Motion</t>
  </si>
  <si>
    <t xml:space="preserve">Science|VI|5</t>
  </si>
  <si>
    <t xml:space="preserve">Materials Around Us</t>
  </si>
  <si>
    <t xml:space="preserve">Science|VI|6</t>
  </si>
  <si>
    <t xml:space="preserve">Temperature and its Measurement</t>
  </si>
  <si>
    <t xml:space="preserve">Science|VI|7</t>
  </si>
  <si>
    <t xml:space="preserve">A Journey through States of Water</t>
  </si>
  <si>
    <t xml:space="preserve">Science|VI|8</t>
  </si>
  <si>
    <t xml:space="preserve">Methods of Separation in Everyday Life</t>
  </si>
  <si>
    <t xml:space="preserve">Science|VI|9</t>
  </si>
  <si>
    <t xml:space="preserve">Living Creatures: Exploring their Characteristics</t>
  </si>
  <si>
    <t xml:space="preserve">Science|VI|10</t>
  </si>
  <si>
    <t xml:space="preserve">Nature's Treasures</t>
  </si>
  <si>
    <t xml:space="preserve">Science|VI|11</t>
  </si>
  <si>
    <t xml:space="preserve">Beyond Earth</t>
  </si>
  <si>
    <t xml:space="preserve">Science|VI|12</t>
  </si>
  <si>
    <t xml:space="preserve">The Ever-Evolving World of Science</t>
  </si>
  <si>
    <t xml:space="preserve">Science|VII|1</t>
  </si>
  <si>
    <t xml:space="preserve">Exploring Substances: Acidic, Basic, and Neutral</t>
  </si>
  <si>
    <t xml:space="preserve">Science|VII|2</t>
  </si>
  <si>
    <t xml:space="preserve">Electricity — Circuits and their Components</t>
  </si>
  <si>
    <t xml:space="preserve">Science|VII|3</t>
  </si>
  <si>
    <t xml:space="preserve">The World of Metals and Non-metals</t>
  </si>
  <si>
    <t xml:space="preserve">Science|VII|4</t>
  </si>
  <si>
    <t xml:space="preserve">Changes Around Us — Physical and Chemical</t>
  </si>
  <si>
    <t xml:space="preserve">Science|VII|5</t>
  </si>
  <si>
    <t xml:space="preserve">Adolescence — A Stage of Growth and Change</t>
  </si>
  <si>
    <t xml:space="preserve">Science|VII|6</t>
  </si>
  <si>
    <t xml:space="preserve">Heat Transfer in Nature</t>
  </si>
  <si>
    <t xml:space="preserve">Science|VII|7</t>
  </si>
  <si>
    <t xml:space="preserve">Measurement of Time and Motion</t>
  </si>
  <si>
    <t xml:space="preserve">Science|VII|8</t>
  </si>
  <si>
    <t xml:space="preserve">Life Processes in Animals</t>
  </si>
  <si>
    <t xml:space="preserve">Science|VII|9</t>
  </si>
  <si>
    <t xml:space="preserve">Life Processes in Plants</t>
  </si>
  <si>
    <t xml:space="preserve">Science|VII|10</t>
  </si>
  <si>
    <t xml:space="preserve">Light — Shadows and Reflections</t>
  </si>
  <si>
    <t xml:space="preserve">Science|VII|11</t>
  </si>
  <si>
    <t xml:space="preserve">Earth, Moon, and the Sun</t>
  </si>
  <si>
    <t xml:space="preserve">Science|VII|12</t>
  </si>
  <si>
    <t xml:space="preserve">Exploring the Investigative World of Science</t>
  </si>
  <si>
    <t xml:space="preserve">Science|VIII|1</t>
  </si>
  <si>
    <t xml:space="preserve">The Invisible Living World: Beyond Our Naked Eye</t>
  </si>
  <si>
    <t xml:space="preserve">Science|VIII|2</t>
  </si>
  <si>
    <t xml:space="preserve">Health: The Ultimate Treasure</t>
  </si>
  <si>
    <t xml:space="preserve">Science|VIII|3</t>
  </si>
  <si>
    <t xml:space="preserve">Electricity: Magnetic and Heating Effects</t>
  </si>
  <si>
    <t xml:space="preserve">Science|VIII|4</t>
  </si>
  <si>
    <t xml:space="preserve">Exploring Forces</t>
  </si>
  <si>
    <t xml:space="preserve">Science|VIII|5</t>
  </si>
  <si>
    <t xml:space="preserve">Pressure, Winds, Storms, and Cyclones</t>
  </si>
  <si>
    <t xml:space="preserve">Science|VIII|6</t>
  </si>
  <si>
    <t xml:space="preserve">Particulate Nature of Matter</t>
  </si>
  <si>
    <t xml:space="preserve">Science|VIII|7</t>
  </si>
  <si>
    <t xml:space="preserve">Nature of Matter: Elements, Compounds, and Mixtures</t>
  </si>
  <si>
    <t xml:space="preserve">Science|VIII|8</t>
  </si>
  <si>
    <t xml:space="preserve">The Amazing World of Solutes, Solvents, and Solutions</t>
  </si>
  <si>
    <t xml:space="preserve">Science|VIII|9</t>
  </si>
  <si>
    <t xml:space="preserve">Light: Mirrors and Lenses</t>
  </si>
  <si>
    <t xml:space="preserve">Science|VIII|10</t>
  </si>
  <si>
    <t xml:space="preserve">Keeping Time with the Skies</t>
  </si>
  <si>
    <t xml:space="preserve">Science|VIII|11</t>
  </si>
  <si>
    <t xml:space="preserve">How Nature Works in Harmony</t>
  </si>
  <si>
    <t xml:space="preserve">Science|VIII|12</t>
  </si>
  <si>
    <t xml:space="preserve">Our Home: Earth, a Unique Life Sustaining Planet</t>
  </si>
  <si>
    <t xml:space="preserve">Science|VIII|13</t>
  </si>
  <si>
    <t xml:space="preserve">Exploration: Entering the World of Secondary Science</t>
  </si>
  <si>
    <t xml:space="preserve">Science|IX|1</t>
  </si>
  <si>
    <t xml:space="preserve">Cell: The Building Block of Life</t>
  </si>
  <si>
    <t xml:space="preserve">Science|IX|2</t>
  </si>
  <si>
    <t xml:space="preserve">Tissues in Action</t>
  </si>
  <si>
    <t xml:space="preserve">Science|IX|3</t>
  </si>
  <si>
    <t xml:space="preserve">Describing Motion Around Us</t>
  </si>
  <si>
    <t xml:space="preserve">Science|IX|4</t>
  </si>
  <si>
    <t xml:space="preserve">Exploring Mixtures and their Separation</t>
  </si>
  <si>
    <t xml:space="preserve">Science|IX|5</t>
  </si>
  <si>
    <t xml:space="preserve">How Forces Affect Motion</t>
  </si>
  <si>
    <t xml:space="preserve">Science|IX|6</t>
  </si>
  <si>
    <t xml:space="preserve">Work, Energy, and Simple Machines</t>
  </si>
  <si>
    <t xml:space="preserve">Science|IX|7</t>
  </si>
  <si>
    <t xml:space="preserve">Journey Inside the Atom</t>
  </si>
  <si>
    <t xml:space="preserve">Science|IX|8</t>
  </si>
  <si>
    <t xml:space="preserve">Atomic Foundations of Matter</t>
  </si>
  <si>
    <t xml:space="preserve">Science|IX|9</t>
  </si>
  <si>
    <t xml:space="preserve">Sound Waves: Characteristics and Applications</t>
  </si>
  <si>
    <t xml:space="preserve">Science|IX|10</t>
  </si>
  <si>
    <t xml:space="preserve">Reproduction: How Life Continues</t>
  </si>
  <si>
    <t xml:space="preserve">Science|IX|11</t>
  </si>
  <si>
    <t xml:space="preserve">Patterns in Life: Diversity and Classification</t>
  </si>
  <si>
    <t xml:space="preserve">Science|IX|12</t>
  </si>
  <si>
    <t xml:space="preserve">Earth as a System: Energy, Matter, and Life</t>
  </si>
  <si>
    <t xml:space="preserve">Science|IX|13</t>
  </si>
  <si>
    <t xml:space="preserve">Social Sciences</t>
  </si>
  <si>
    <t xml:space="preserve">Chapter 1: Locating Places on the Earth</t>
  </si>
  <si>
    <t xml:space="preserve">Social Sciences|VI|1</t>
  </si>
  <si>
    <t xml:space="preserve">Chapter 02: Oceans and Continents</t>
  </si>
  <si>
    <t xml:space="preserve">Social Sciences|VI|2</t>
  </si>
  <si>
    <t xml:space="preserve">Chapter 3: Landforms and Life</t>
  </si>
  <si>
    <t xml:space="preserve">Social Sciences|VI|3</t>
  </si>
  <si>
    <t xml:space="preserve">Chapter 4: Timeline and Sources of History</t>
  </si>
  <si>
    <t xml:space="preserve">Social Sciences|VI|4</t>
  </si>
  <si>
    <t xml:space="preserve">Chapter 5: India, That Is Bharat</t>
  </si>
  <si>
    <t xml:space="preserve">Social Sciences|VI|5</t>
  </si>
  <si>
    <t xml:space="preserve">Chapter 6: The Beginnings of Indian Civilisation</t>
  </si>
  <si>
    <t xml:space="preserve">Social Sciences|VI|6</t>
  </si>
  <si>
    <t xml:space="preserve">Chapter 7: India's Cultural Roots</t>
  </si>
  <si>
    <t xml:space="preserve">Social Sciences|VI|7</t>
  </si>
  <si>
    <t xml:space="preserve">Chapter 8: Unity in Diversity, or 'Many in the One'</t>
  </si>
  <si>
    <t xml:space="preserve">Social Sciences|VI|8</t>
  </si>
  <si>
    <t xml:space="preserve">Chapter 9: Family and Community</t>
  </si>
  <si>
    <t xml:space="preserve">Social Sciences|VI|9</t>
  </si>
  <si>
    <t xml:space="preserve">Chapter 10: Grassroots Democracy – Part 1 Governance</t>
  </si>
  <si>
    <t xml:space="preserve">Social Sciences|VI|10</t>
  </si>
  <si>
    <t xml:space="preserve">Chapter 11: Grassroots Democracy – Part 2: Local Government in Rural Areas</t>
  </si>
  <si>
    <t xml:space="preserve">Social Sciences|VI|11</t>
  </si>
  <si>
    <t xml:space="preserve">Grassroots Democracy – Part 3 Local Government in Urban Areas</t>
  </si>
  <si>
    <t xml:space="preserve">Social Sciences|VI|12</t>
  </si>
  <si>
    <t xml:space="preserve">Chapter 13: The Value of Work</t>
  </si>
  <si>
    <t xml:space="preserve">Social Sciences|VI|13</t>
  </si>
  <si>
    <t xml:space="preserve">Chapter 14: Economic Activities Around Us</t>
  </si>
  <si>
    <t xml:space="preserve">Social Sciences|VI|14</t>
  </si>
  <si>
    <t xml:space="preserve">Geographical Diversity of India</t>
  </si>
  <si>
    <t xml:space="preserve">Social Sciences|VII|1</t>
  </si>
  <si>
    <t xml:space="preserve">Understanding the Weather</t>
  </si>
  <si>
    <t xml:space="preserve">Social Sciences|VII|2</t>
  </si>
  <si>
    <t xml:space="preserve">Climates of India</t>
  </si>
  <si>
    <t xml:space="preserve">Social Sciences|VII|3</t>
  </si>
  <si>
    <t xml:space="preserve">New Beginnings - Cities and States</t>
  </si>
  <si>
    <t xml:space="preserve">Social Sciences|VII|4</t>
  </si>
  <si>
    <t xml:space="preserve">The Rise of Empires</t>
  </si>
  <si>
    <t xml:space="preserve">Social Sciences|VII|5</t>
  </si>
  <si>
    <t xml:space="preserve">The Age of Reorganisation</t>
  </si>
  <si>
    <t xml:space="preserve">Social Sciences|VII|6</t>
  </si>
  <si>
    <t xml:space="preserve">The Gupta Era - An Age of Tireless Creativity</t>
  </si>
  <si>
    <t xml:space="preserve">Social Sciences|VII|7</t>
  </si>
  <si>
    <t xml:space="preserve">How the Land Becomes Sacred</t>
  </si>
  <si>
    <t xml:space="preserve">Social Sciences|VII|8</t>
  </si>
  <si>
    <t xml:space="preserve">From the Rulers to the Ruled - Types of Governments</t>
  </si>
  <si>
    <t xml:space="preserve">Social Sciences|VII|9</t>
  </si>
  <si>
    <t xml:space="preserve">The Constitution of India - An Introduction</t>
  </si>
  <si>
    <t xml:space="preserve">Social Sciences|VII|10</t>
  </si>
  <si>
    <t xml:space="preserve">From Barter to Money</t>
  </si>
  <si>
    <t xml:space="preserve">Social Sciences|VII|11</t>
  </si>
  <si>
    <t xml:space="preserve">Understanding Markets</t>
  </si>
  <si>
    <t xml:space="preserve">Social Sciences|VII|12</t>
  </si>
  <si>
    <t xml:space="preserve">Chapter 1: Natural Resources and Their Use</t>
  </si>
  <si>
    <t xml:space="preserve">Social Sciences|VIII|1</t>
  </si>
  <si>
    <t xml:space="preserve">Chapter 2: Reshaping India's Political Map</t>
  </si>
  <si>
    <t xml:space="preserve">Social Sciences|VIII|2</t>
  </si>
  <si>
    <t xml:space="preserve">Chapter 3: The Rise of the Marathas</t>
  </si>
  <si>
    <t xml:space="preserve">Social Sciences|VIII|3</t>
  </si>
  <si>
    <t xml:space="preserve">Chapter 4: The Colonial Era in India</t>
  </si>
  <si>
    <t xml:space="preserve">Social Sciences|VIII|4</t>
  </si>
  <si>
    <t xml:space="preserve">Chapter 5: Universal Franchise and India's Electoral System</t>
  </si>
  <si>
    <t xml:space="preserve">Social Sciences|VIII|5</t>
  </si>
  <si>
    <t xml:space="preserve">Chapter 6: The Parliamentary System: Legislature and Executive</t>
  </si>
  <si>
    <t xml:space="preserve">Social Sciences|VIII|6</t>
  </si>
  <si>
    <t xml:space="preserve">Chapter 7: Factors of Production</t>
  </si>
  <si>
    <t xml:space="preserve">Social Sciences|VIII|7</t>
  </si>
  <si>
    <t xml:space="preserve">Chapter 8: World Geography: Some Glimpses</t>
  </si>
  <si>
    <t xml:space="preserve">Social Sciences|VIII|8</t>
  </si>
  <si>
    <t xml:space="preserve">Chapter 9: India's Long Road to Independence</t>
  </si>
  <si>
    <t xml:space="preserve">Social Sciences|VIII|9</t>
  </si>
  <si>
    <t xml:space="preserve">Chapter 10: A Journey Through Indian Architecture</t>
  </si>
  <si>
    <t xml:space="preserve">Social Sciences|VIII|10</t>
  </si>
  <si>
    <t xml:space="preserve">Chapter 11: The Role of the Judiciary in Our Society</t>
  </si>
  <si>
    <t xml:space="preserve">Social Sciences|VIII|11</t>
  </si>
  <si>
    <t xml:space="preserve">Chapter 12: Citizenship: Rights and Duties</t>
  </si>
  <si>
    <t xml:space="preserve">Social Sciences|VIII|12</t>
  </si>
  <si>
    <t xml:space="preserve">Chapter 13: Dynamics of Population</t>
  </si>
  <si>
    <t xml:space="preserve">Social Sciences|VIII|13</t>
  </si>
  <si>
    <t xml:space="preserve">Chapter 14: India's Urban Landscape</t>
  </si>
  <si>
    <t xml:space="preserve">Social Sciences|VIII|14</t>
  </si>
  <si>
    <t xml:space="preserve">Chapter 15: Cultural Currents: 13th to 17th Centuries</t>
  </si>
  <si>
    <t xml:space="preserve">Social Sciences|VIII|15</t>
  </si>
  <si>
    <t xml:space="preserve">Chapter 1: Understanding Social Science</t>
  </si>
  <si>
    <t xml:space="preserve">Social Sciences|IX|1</t>
  </si>
  <si>
    <t xml:space="preserve">Chapter 2: Shaping of the Earth's Surface</t>
  </si>
  <si>
    <t xml:space="preserve">Social Sciences|IX|2</t>
  </si>
  <si>
    <t xml:space="preserve">Chapter 3: Atmosphere and Climate</t>
  </si>
  <si>
    <t xml:space="preserve">Social Sciences|IX|3</t>
  </si>
  <si>
    <t xml:space="preserve">Chapter 4: Early Humans and Beginning of Civilisation</t>
  </si>
  <si>
    <t xml:space="preserve">Social Sciences|IX|4</t>
  </si>
  <si>
    <t xml:space="preserve">Chapter 5: State and Society up to 1000 CE</t>
  </si>
  <si>
    <t xml:space="preserve">Social Sciences|IX|5</t>
  </si>
  <si>
    <t xml:space="preserve">Chapter 6: Democracy</t>
  </si>
  <si>
    <t xml:space="preserve">Social Sciences|IX|6</t>
  </si>
  <si>
    <t xml:space="preserve">Chapter 7: Elections</t>
  </si>
  <si>
    <t xml:space="preserve">Social Sciences|IX|7</t>
  </si>
  <si>
    <t xml:space="preserve">Chapter 8: Building Blocks in Economics: The Problem of Choice</t>
  </si>
  <si>
    <t xml:space="preserve">Social Sciences|IX|8</t>
  </si>
  <si>
    <t xml:space="preserve">Chapter 9: The Price Puzzle: What Drives the Market</t>
  </si>
  <si>
    <t xml:space="preserve">Social Sciences|IX|9</t>
  </si>
  <si>
    <t xml:space="preserve">Social Sciences|IX|10</t>
  </si>
  <si>
    <t xml:space="preserve">Social Sciences|IX|11</t>
  </si>
  <si>
    <t xml:space="preserve">Social Sciences|IX|12</t>
  </si>
  <si>
    <t xml:space="preserve">Social Sciences|IX|13</t>
  </si>
  <si>
    <t xml:space="preserve">Social Sciences|IX|14</t>
  </si>
  <si>
    <t xml:space="preserve">Social Sciences|IX|15</t>
  </si>
  <si>
    <t xml:space="preserve">Social Sciences|IX|16</t>
  </si>
  <si>
    <t xml:space="preserve">Chapter 17: (Placeholder — awaiting NCERT release)</t>
  </si>
  <si>
    <t xml:space="preserve">Social Sciences|IX|17</t>
  </si>
  <si>
    <t xml:space="preserve">Chapter 18: (Placeholder — awaiting NCERT release)</t>
  </si>
  <si>
    <t xml:space="preserve">Social Sciences|IX|18</t>
  </si>
  <si>
    <t xml:space="preserve">The World Around Us</t>
  </si>
  <si>
    <t xml:space="preserve">Family and Friends</t>
  </si>
  <si>
    <t xml:space="preserve">The World Around Us|III|1</t>
  </si>
  <si>
    <t xml:space="preserve">Going to the Mela</t>
  </si>
  <si>
    <t xml:space="preserve">The World Around Us|III|2</t>
  </si>
  <si>
    <t xml:space="preserve">Celebrating Festivals</t>
  </si>
  <si>
    <t xml:space="preserve">The World Around Us|III|3</t>
  </si>
  <si>
    <t xml:space="preserve">Getting to Know Plants</t>
  </si>
  <si>
    <t xml:space="preserve">The World Around Us|III|4</t>
  </si>
  <si>
    <t xml:space="preserve">Plants and Animals Live Together</t>
  </si>
  <si>
    <t xml:space="preserve">The World Around Us|III|5</t>
  </si>
  <si>
    <t xml:space="preserve">Living in Harmony</t>
  </si>
  <si>
    <t xml:space="preserve">The World Around Us|III|6</t>
  </si>
  <si>
    <t xml:space="preserve">Water–A Precious Gift</t>
  </si>
  <si>
    <t xml:space="preserve">The World Around Us|III|7</t>
  </si>
  <si>
    <t xml:space="preserve">Food We Eat</t>
  </si>
  <si>
    <t xml:space="preserve">The World Around Us|III|8</t>
  </si>
  <si>
    <t xml:space="preserve">Staying Healthy and Happy</t>
  </si>
  <si>
    <t xml:space="preserve">The World Around Us|III|9</t>
  </si>
  <si>
    <t xml:space="preserve">This World of Things</t>
  </si>
  <si>
    <t xml:space="preserve">The World Around Us|III|10</t>
  </si>
  <si>
    <t xml:space="preserve">Making Things</t>
  </si>
  <si>
    <t xml:space="preserve">The World Around Us|III|11</t>
  </si>
  <si>
    <t xml:space="preserve">Taking Charge of Waste</t>
  </si>
  <si>
    <t xml:space="preserve">The World Around Us|III|12</t>
  </si>
  <si>
    <t xml:space="preserve">Living Together</t>
  </si>
  <si>
    <t xml:space="preserve">The World Around Us|IV|1</t>
  </si>
  <si>
    <t xml:space="preserve">Exploring Our Neighbourhood</t>
  </si>
  <si>
    <t xml:space="preserve">The World Around Us|IV|2</t>
  </si>
  <si>
    <t xml:space="preserve">Nature Trail</t>
  </si>
  <si>
    <t xml:space="preserve">The World Around Us|IV|3</t>
  </si>
  <si>
    <t xml:space="preserve">Growing up with Nature</t>
  </si>
  <si>
    <t xml:space="preserve">The World Around Us|IV|4</t>
  </si>
  <si>
    <t xml:space="preserve">Food for Health</t>
  </si>
  <si>
    <t xml:space="preserve">The World Around Us|IV|5</t>
  </si>
  <si>
    <t xml:space="preserve">Happy and Healthy Living</t>
  </si>
  <si>
    <t xml:space="preserve">The World Around Us|IV|6</t>
  </si>
  <si>
    <t xml:space="preserve">How Things Work</t>
  </si>
  <si>
    <t xml:space="preserve">The World Around Us|IV|7</t>
  </si>
  <si>
    <t xml:space="preserve">How Things are Made</t>
  </si>
  <si>
    <t xml:space="preserve">The World Around Us|IV|8</t>
  </si>
  <si>
    <t xml:space="preserve">Different Lands, Different Lives</t>
  </si>
  <si>
    <t xml:space="preserve">The World Around Us|IV|9</t>
  </si>
  <si>
    <t xml:space="preserve">Our Sky</t>
  </si>
  <si>
    <t xml:space="preserve">The World Around Us|IV|10</t>
  </si>
  <si>
    <t xml:space="preserve">Water — The Essence of Life</t>
  </si>
  <si>
    <t xml:space="preserve">The World Around Us|V|1</t>
  </si>
  <si>
    <t xml:space="preserve">Journey of a River</t>
  </si>
  <si>
    <t xml:space="preserve">The World Around Us|V|2</t>
  </si>
  <si>
    <t xml:space="preserve">The Mystery of Food</t>
  </si>
  <si>
    <t xml:space="preserve">The World Around Us|V|3</t>
  </si>
  <si>
    <t xml:space="preserve">Our School—A Happy Place</t>
  </si>
  <si>
    <t xml:space="preserve">The World Around Us|V|4</t>
  </si>
  <si>
    <t xml:space="preserve">Our Vibrant Country</t>
  </si>
  <si>
    <t xml:space="preserve">The World Around Us|V|5</t>
  </si>
  <si>
    <t xml:space="preserve">Some Unique Places</t>
  </si>
  <si>
    <t xml:space="preserve">The World Around Us|V|6</t>
  </si>
  <si>
    <t xml:space="preserve">Energy—How Things Work</t>
  </si>
  <si>
    <t xml:space="preserve">The World Around Us|V|7</t>
  </si>
  <si>
    <t xml:space="preserve">Clothes—How Things are Made</t>
  </si>
  <si>
    <t xml:space="preserve">The World Around Us|V|8</t>
  </si>
  <si>
    <t xml:space="preserve">Rhythms of Nature</t>
  </si>
  <si>
    <t xml:space="preserve">The World Around Us|V|9</t>
  </si>
  <si>
    <t xml:space="preserve">Earth—Our Shared Home</t>
  </si>
  <si>
    <t xml:space="preserve">The World Around Us|V|10</t>
  </si>
  <si>
    <t xml:space="preserve">TWAU</t>
  </si>
  <si>
    <t xml:space="preserve">X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</si>
</sst>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####"/>
    <numFmt numFmtId="166" formatCode="0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2E4034"/>
      <name val="Arial"/>
      <family val="2"/>
      <charset val="1"/>
    </font>
    <font>
      <i val="true"/>
      <sz val="9"/>
      <color rgb="FF6A6152"/>
      <name val="Arial"/>
      <family val="2"/>
      <charset val="1"/>
    </font>
    <font>
      <b val="true"/>
      <sz val="10"/>
      <color rgb="FF1A1A1A"/>
      <name val="Arial"/>
      <family val="2"/>
      <charset val="1"/>
    </font>
    <font>
      <b val="true"/>
      <sz val="10"/>
      <color rgb="FF2E4034"/>
      <name val="Arial"/>
      <family val="2"/>
      <charset val="1"/>
    </font>
    <font>
      <b val="true"/>
      <sz val="11"/>
      <color theme="1"/>
      <name val="Calibri"/>
      <family val="2"/>
      <charset val="1"/>
    </font>
    <font>
      <i val="true"/>
      <sz val="9"/>
      <color rgb="FF9A3B1E"/>
      <name val="Arial"/>
      <family val="2"/>
      <charset val="1"/>
    </font>
    <font>
      <b val="true"/>
      <sz val="9"/>
      <color rgb="FF6A6152"/>
      <name val="Arial"/>
      <family val="2"/>
      <charset val="1"/>
    </font>
    <font>
      <sz val="10"/>
      <color rgb="FF1A1A1A"/>
      <name val="Arial"/>
      <family val="2"/>
      <charset val="1"/>
    </font>
    <font>
      <sz val="10"/>
      <name val="Arial"/>
      <family val="2"/>
      <charset val="1"/>
    </font>
    <font>
      <sz val="10"/>
      <color theme="1"/>
      <name val="Arial"/>
      <family val="2"/>
      <charset val="1"/>
    </font>
    <font>
      <sz val="12"/>
      <color theme="1"/>
      <name val="Calibri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rgb="FFFBE5C8"/>
        <bgColor rgb="FFEEE7D8"/>
      </patternFill>
    </fill>
    <fill>
      <patternFill patternType="solid">
        <fgColor rgb="FFFFFF00"/>
        <bgColor rgb="FFFFFF00"/>
      </patternFill>
    </fill>
    <fill>
      <patternFill patternType="solid">
        <fgColor rgb="FFEEE7D8"/>
        <bgColor rgb="FFFBE5C8"/>
      </patternFill>
    </fill>
  </fills>
  <borders count="6">
    <border diagonalUp="false" diagonalDown="false">
      <left/>
      <right/>
      <top/>
      <bottom/>
      <diagonal/>
    </border>
    <border diagonalUp="false" diagonalDown="false">
      <left style="thin">
        <color rgb="FFC9C2B4"/>
      </left>
      <right style="thin">
        <color rgb="FFC9C2B4"/>
      </right>
      <top style="thin">
        <color rgb="FFC9C2B4"/>
      </top>
      <bottom style="thin">
        <color rgb="FFC9C2B4"/>
      </bottom>
      <diagonal/>
    </border>
    <border diagonalUp="false" diagonalDown="false">
      <left/>
      <right/>
      <top/>
      <bottom style="medium">
        <color rgb="FF5A5347"/>
      </bottom>
      <diagonal/>
    </border>
    <border diagonalUp="false" diagonalDown="false">
      <left/>
      <right/>
      <top style="medium">
        <color rgb="FF5A5347"/>
      </top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/>
      <right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4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4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11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6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0" borderId="4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0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3" fillId="0" borderId="4" xfId="0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4" fontId="14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5" xfId="0" applyFont="true" applyBorder="true" applyAlignment="true" applyProtection="false">
      <alignment horizontal="general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EEE7D8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9C2B4"/>
      <rgbColor rgb="FF808080"/>
      <rgbColor rgb="FF9999FF"/>
      <rgbColor rgb="FF993366"/>
      <rgbColor rgb="FFFBE5C8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A6152"/>
      <rgbColor rgb="FF969696"/>
      <rgbColor rgb="FF003366"/>
      <rgbColor rgb="FF339966"/>
      <rgbColor rgb="FF003300"/>
      <rgbColor rgb="FF1A1A1A"/>
      <rgbColor rgb="FF9A3B1E"/>
      <rgbColor rgb="FF993366"/>
      <rgbColor rgb="FF5A5347"/>
      <rgbColor rgb="FF2E403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8"/>
  <sheetViews>
    <sheetView showFormulas="false" showGridLines="false" showRowColHeaders="true" showZeros="true" rightToLeft="false" tabSelected="true" showOutlineSymbols="true" defaultGridColor="true" view="normal" topLeftCell="B1" colorId="64" zoomScale="100" zoomScaleNormal="100" zoomScalePageLayoutView="100" workbookViewId="0">
      <selection pane="topLeft" activeCell="H8" activeCellId="0" sqref="H8"/>
    </sheetView>
  </sheetViews>
  <sheetFormatPr defaultColWidth="8.83203125" defaultRowHeight="15" customHeight="false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46"/>
    <col collapsed="false" customWidth="true" hidden="false" outlineLevel="0" max="4" min="3" style="0" width="12"/>
  </cols>
  <sheetData>
    <row r="1" customFormat="false" ht="18" hidden="false" customHeight="true" outlineLevel="0" collapsed="false">
      <c r="A1" s="1" t="s">
        <v>0</v>
      </c>
      <c r="B1" s="1"/>
      <c r="C1" s="1"/>
      <c r="D1" s="1"/>
    </row>
    <row r="2" customFormat="false" ht="30" hidden="false" customHeight="true" outlineLevel="0" collapsed="false">
      <c r="A2" s="2" t="s">
        <v>1</v>
      </c>
      <c r="B2" s="2"/>
      <c r="C2" s="2"/>
      <c r="D2" s="2"/>
    </row>
    <row r="4" customFormat="false" ht="15" hidden="false" customHeight="true" outlineLevel="0" collapsed="false">
      <c r="A4" s="3" t="s">
        <v>2</v>
      </c>
      <c r="B4" s="4" t="s">
        <v>3</v>
      </c>
      <c r="G4" s="5" t="s">
        <v>4</v>
      </c>
      <c r="H4" s="6"/>
    </row>
    <row r="5" customFormat="false" ht="15" hidden="false" customHeight="true" outlineLevel="0" collapsed="false">
      <c r="A5" s="3" t="s">
        <v>5</v>
      </c>
      <c r="B5" s="4" t="s">
        <v>6</v>
      </c>
      <c r="G5" s="7" t="s">
        <v>7</v>
      </c>
    </row>
    <row r="6" customFormat="false" ht="15" hidden="false" customHeight="true" outlineLevel="0" collapsed="false">
      <c r="A6" s="3" t="s">
        <v>8</v>
      </c>
      <c r="B6" s="4" t="n">
        <f aca="false">IF(COUNTIFS(budget!$A:$A,$B$4,budget!$B:$B,$B$5)=0,"",IF(SUMIFS(budget!$C:$C,budget!$A:$A,$B$4,budget!$B:$B,$B$5)=0,"",SUMIFS(budget!$C:$C,budget!$A:$A,$B$4,budget!$B:$B,$B$5)))</f>
        <v>140</v>
      </c>
      <c r="C6" s="8" t="s">
        <v>9</v>
      </c>
      <c r="G6" s="7" t="s">
        <v>10</v>
      </c>
    </row>
    <row r="7" customFormat="false" ht="15" hidden="false" customHeight="true" outlineLevel="0" collapsed="false">
      <c r="A7" s="9" t="str">
        <f aca="false">IF($B$4="","Choose a subject and class, then enter your annual budget.",IF(COUNTIFS(Chapters!$A:$A,$B$4,Chapters!$B:$B,$B$5)=0,"No chapters found for this subject and class - try another combination.",IF($B$6="","Enter your annual budget (periods) above.","")))</f>
        <v/>
      </c>
      <c r="B7" s="9"/>
      <c r="C7" s="9"/>
      <c r="D7" s="9"/>
      <c r="G7" s="7" t="s">
        <v>11</v>
      </c>
    </row>
    <row r="9" customFormat="false" ht="15" hidden="false" customHeight="true" outlineLevel="0" collapsed="false">
      <c r="A9" s="10" t="s">
        <v>12</v>
      </c>
      <c r="B9" s="11" t="s">
        <v>13</v>
      </c>
      <c r="C9" s="10" t="s">
        <v>14</v>
      </c>
      <c r="D9" s="10" t="s">
        <v>15</v>
      </c>
    </row>
    <row r="10" customFormat="false" ht="15" hidden="false" customHeight="true" outlineLevel="0" collapsed="false">
      <c r="A10" s="12" t="n">
        <f aca="false">IFERROR(INDEX(Chapters!$C:$C,MATCH($B$4&amp;"|"&amp;$B$5&amp;"|"&amp;(ROW()-9),Chapters!$F:$F,0)),"")</f>
        <v>1</v>
      </c>
      <c r="B10" s="13" t="str">
        <f aca="false">IFERROR(INDEX(Chapters!$D:$D,MATCH($B$4&amp;"|"&amp;$B$5&amp;"|"&amp;(ROW()-9),Chapters!$F:$F,0)),"")</f>
        <v>Fun with Friends (Fun with Friends)</v>
      </c>
      <c r="C10" s="14" t="n">
        <f aca="false">IFERROR(INDEX(Chapters!$E:$E,MATCH($B$4&amp;"|"&amp;$B$5&amp;"|"&amp;(ROW()-9),Chapters!$F:$F,0)),"")</f>
        <v>5.5</v>
      </c>
      <c r="D10" s="15" t="n">
        <f aca="false">IF(OR($C10="",$C$28=0,$B$6=""),"",ROUND(SUM($C$10:$C10)/$C$28*$B$6,0)-ROUND((SUM($C$10:$C10)-$C10)/$C$28*$B$6,0))</f>
        <v>6</v>
      </c>
    </row>
    <row r="11" customFormat="false" ht="15" hidden="false" customHeight="true" outlineLevel="0" collapsed="false">
      <c r="A11" s="12" t="n">
        <f aca="false">IFERROR(INDEX(Chapters!$C:$C,MATCH($B$4&amp;"|"&amp;$B$5&amp;"|"&amp;(ROW()-9),Chapters!$F:$F,0)),"")</f>
        <v>2</v>
      </c>
      <c r="B11" s="13" t="str">
        <f aca="false">IFERROR(INDEX(Chapters!$D:$D,MATCH($B$4&amp;"|"&amp;$B$5&amp;"|"&amp;(ROW()-9),Chapters!$F:$F,0)),"")</f>
        <v>Colours (Fun with Friends)</v>
      </c>
      <c r="C11" s="14" t="n">
        <f aca="false">IFERROR(INDEX(Chapters!$E:$E,MATCH($B$4&amp;"|"&amp;$B$5&amp;"|"&amp;(ROW()-9),Chapters!$F:$F,0)),"")</f>
        <v>6.5</v>
      </c>
      <c r="D11" s="15" t="n">
        <f aca="false">IF(OR($C11="",$C$28=0,$B$6=""),"",ROUND(SUM($C$10:$C11)/$C$28*$B$6,0)-ROUND((SUM($C$10:$C11)-$C11)/$C$28*$B$6,0))</f>
        <v>7</v>
      </c>
    </row>
    <row r="12" customFormat="false" ht="15" hidden="false" customHeight="true" outlineLevel="0" collapsed="false">
      <c r="A12" s="12" t="n">
        <f aca="false">IFERROR(INDEX(Chapters!$C:$C,MATCH($B$4&amp;"|"&amp;$B$5&amp;"|"&amp;(ROW()-9),Chapters!$F:$F,0)),"")</f>
        <v>3</v>
      </c>
      <c r="B12" s="13" t="str">
        <f aca="false">IFERROR(INDEX(Chapters!$D:$D,MATCH($B$4&amp;"|"&amp;$B$5&amp;"|"&amp;(ROW()-9),Chapters!$F:$F,0)),"")</f>
        <v>Badal and Moti (Badal and Moti)</v>
      </c>
      <c r="C12" s="14" t="n">
        <f aca="false">IFERROR(INDEX(Chapters!$E:$E,MATCH($B$4&amp;"|"&amp;$B$5&amp;"|"&amp;(ROW()-9),Chapters!$F:$F,0)),"")</f>
        <v>11.5</v>
      </c>
      <c r="D12" s="15" t="n">
        <f aca="false">IF(OR($C12="",$C$28=0,$B$6=""),"",ROUND(SUM($C$10:$C12)/$C$28*$B$6,0)-ROUND((SUM($C$10:$C12)-$C12)/$C$28*$B$6,0))</f>
        <v>12</v>
      </c>
    </row>
    <row r="13" customFormat="false" ht="15" hidden="false" customHeight="true" outlineLevel="0" collapsed="false">
      <c r="A13" s="12" t="n">
        <f aca="false">IFERROR(INDEX(Chapters!$C:$C,MATCH($B$4&amp;"|"&amp;$B$5&amp;"|"&amp;(ROW()-9),Chapters!$F:$F,0)),"")</f>
        <v>4</v>
      </c>
      <c r="B13" s="13" t="str">
        <f aca="false">IFERROR(INDEX(Chapters!$D:$D,MATCH($B$4&amp;"|"&amp;$B$5&amp;"|"&amp;(ROW()-9),Chapters!$F:$F,0)),"")</f>
        <v>Best Friends (Best Friends)</v>
      </c>
      <c r="C13" s="14" t="n">
        <f aca="false">IFERROR(INDEX(Chapters!$E:$E,MATCH($B$4&amp;"|"&amp;$B$5&amp;"|"&amp;(ROW()-9),Chapters!$F:$F,0)),"")</f>
        <v>10</v>
      </c>
      <c r="D13" s="15" t="n">
        <f aca="false">IF(OR($C13="",$C$28=0,$B$6=""),"",ROUND(SUM($C$10:$C13)/$C$28*$B$6,0)-ROUND((SUM($C$10:$C13)-$C13)/$C$28*$B$6,0))</f>
        <v>11</v>
      </c>
    </row>
    <row r="14" customFormat="false" ht="15" hidden="false" customHeight="true" outlineLevel="0" collapsed="false">
      <c r="A14" s="12" t="n">
        <f aca="false">IFERROR(INDEX(Chapters!$C:$C,MATCH($B$4&amp;"|"&amp;$B$5&amp;"|"&amp;(ROW()-9),Chapters!$F:$F,0)),"")</f>
        <v>5</v>
      </c>
      <c r="B14" s="13" t="str">
        <f aca="false">IFERROR(INDEX(Chapters!$D:$D,MATCH($B$4&amp;"|"&amp;$B$5&amp;"|"&amp;(ROW()-9),Chapters!$F:$F,0)),"")</f>
        <v>What do You do? (Best Friends)</v>
      </c>
      <c r="C14" s="14" t="n">
        <f aca="false">IFERROR(INDEX(Chapters!$E:$E,MATCH($B$4&amp;"|"&amp;$B$5&amp;"|"&amp;(ROW()-9),Chapters!$F:$F,0)),"")</f>
        <v>3.5</v>
      </c>
      <c r="D14" s="15" t="n">
        <f aca="false">IF(OR($C14="",$C$28=0,$B$6=""),"",ROUND(SUM($C$10:$C14)/$C$28*$B$6,0)-ROUND((SUM($C$10:$C14)-$C14)/$C$28*$B$6,0))</f>
        <v>4</v>
      </c>
    </row>
    <row r="15" customFormat="false" ht="15" hidden="false" customHeight="true" outlineLevel="0" collapsed="false">
      <c r="A15" s="12" t="n">
        <f aca="false">IFERROR(INDEX(Chapters!$C:$C,MATCH($B$4&amp;"|"&amp;$B$5&amp;"|"&amp;(ROW()-9),Chapters!$F:$F,0)),"")</f>
        <v>6</v>
      </c>
      <c r="B15" s="13" t="str">
        <f aca="false">IFERROR(INDEX(Chapters!$D:$D,MATCH($B$4&amp;"|"&amp;$B$5&amp;"|"&amp;(ROW()-9),Chapters!$F:$F,0)),"")</f>
        <v>Toys and Games (Picture Reading) (Toys and Games)</v>
      </c>
      <c r="C15" s="14" t="n">
        <f aca="false">IFERROR(INDEX(Chapters!$E:$E,MATCH($B$4&amp;"|"&amp;$B$5&amp;"|"&amp;(ROW()-9),Chapters!$F:$F,0)),"")</f>
        <v>5.5</v>
      </c>
      <c r="D15" s="15" t="n">
        <f aca="false">IF(OR($C15="",$C$28=0,$B$6=""),"",ROUND(SUM($C$10:$C15)/$C$28*$B$6,0)-ROUND((SUM($C$10:$C15)-$C15)/$C$28*$B$6,0))</f>
        <v>6</v>
      </c>
    </row>
    <row r="16" customFormat="false" ht="15" hidden="false" customHeight="true" outlineLevel="0" collapsed="false">
      <c r="A16" s="12" t="n">
        <f aca="false">IFERROR(INDEX(Chapters!$C:$C,MATCH($B$4&amp;"|"&amp;$B$5&amp;"|"&amp;(ROW()-9),Chapters!$F:$F,0)),"")</f>
        <v>7</v>
      </c>
      <c r="B16" s="13" t="str">
        <f aca="false">IFERROR(INDEX(Chapters!$D:$D,MATCH($B$4&amp;"|"&amp;$B$5&amp;"|"&amp;(ROW()-9),Chapters!$F:$F,0)),"")</f>
        <v>Out in the Garden (Toys and Games)</v>
      </c>
      <c r="C16" s="14" t="n">
        <f aca="false">IFERROR(INDEX(Chapters!$E:$E,MATCH($B$4&amp;"|"&amp;$B$5&amp;"|"&amp;(ROW()-9),Chapters!$F:$F,0)),"")</f>
        <v>6.5</v>
      </c>
      <c r="D16" s="15" t="n">
        <f aca="false">IF(OR($C16="",$C$28=0,$B$6=""),"",ROUND(SUM($C$10:$C16)/$C$28*$B$6,0)-ROUND((SUM($C$10:$C16)-$C16)/$C$28*$B$6,0))</f>
        <v>7</v>
      </c>
    </row>
    <row r="17" customFormat="false" ht="15" hidden="false" customHeight="true" outlineLevel="0" collapsed="false">
      <c r="A17" s="12" t="n">
        <f aca="false">IFERROR(INDEX(Chapters!$C:$C,MATCH($B$4&amp;"|"&amp;$B$5&amp;"|"&amp;(ROW()-9),Chapters!$F:$F,0)),"")</f>
        <v>8</v>
      </c>
      <c r="B17" s="13" t="str">
        <f aca="false">IFERROR(INDEX(Chapters!$D:$D,MATCH($B$4&amp;"|"&amp;$B$5&amp;"|"&amp;(ROW()-9),Chapters!$F:$F,0)),"")</f>
        <v>Talking Toys (Talking Toys)</v>
      </c>
      <c r="C17" s="14" t="n">
        <f aca="false">IFERROR(INDEX(Chapters!$E:$E,MATCH($B$4&amp;"|"&amp;$B$5&amp;"|"&amp;(ROW()-9),Chapters!$F:$F,0)),"")</f>
        <v>10</v>
      </c>
      <c r="D17" s="15" t="n">
        <f aca="false">IF(OR($C17="",$C$28=0,$B$6=""),"",ROUND(SUM($C$10:$C17)/$C$28*$B$6,0)-ROUND((SUM($C$10:$C17)-$C17)/$C$28*$B$6,0))</f>
        <v>11</v>
      </c>
    </row>
    <row r="18" customFormat="false" ht="15" hidden="false" customHeight="true" outlineLevel="0" collapsed="false">
      <c r="A18" s="12" t="n">
        <f aca="false">IFERROR(INDEX(Chapters!$C:$C,MATCH($B$4&amp;"|"&amp;$B$5&amp;"|"&amp;(ROW()-9),Chapters!$F:$F,0)),"")</f>
        <v>9</v>
      </c>
      <c r="B18" s="13" t="str">
        <f aca="false">IFERROR(INDEX(Chapters!$D:$D,MATCH($B$4&amp;"|"&amp;$B$5&amp;"|"&amp;(ROW()-9),Chapters!$F:$F,0)),"")</f>
        <v>Paper Boats (Paper Boats)</v>
      </c>
      <c r="C18" s="14" t="n">
        <f aca="false">IFERROR(INDEX(Chapters!$E:$E,MATCH($B$4&amp;"|"&amp;$B$5&amp;"|"&amp;(ROW()-9),Chapters!$F:$F,0)),"")</f>
        <v>8.5</v>
      </c>
      <c r="D18" s="15" t="n">
        <f aca="false">IF(OR($C18="",$C$28=0,$B$6=""),"",ROUND(SUM($C$10:$C18)/$C$28*$B$6,0)-ROUND((SUM($C$10:$C18)-$C18)/$C$28*$B$6,0))</f>
        <v>9</v>
      </c>
    </row>
    <row r="19" customFormat="false" ht="15" hidden="false" customHeight="true" outlineLevel="0" collapsed="false">
      <c r="A19" s="12" t="n">
        <f aca="false">IFERROR(INDEX(Chapters!$C:$C,MATCH($B$4&amp;"|"&amp;$B$5&amp;"|"&amp;(ROW()-9),Chapters!$F:$F,0)),"")</f>
        <v>10</v>
      </c>
      <c r="B19" s="13" t="str">
        <f aca="false">IFERROR(INDEX(Chapters!$D:$D,MATCH($B$4&amp;"|"&amp;$B$5&amp;"|"&amp;(ROW()-9),Chapters!$F:$F,0)),"")</f>
        <v>Good Food — Picture Reading (The Big Laddoo)</v>
      </c>
      <c r="C19" s="14" t="n">
        <f aca="false">IFERROR(INDEX(Chapters!$E:$E,MATCH($B$4&amp;"|"&amp;$B$5&amp;"|"&amp;(ROW()-9),Chapters!$F:$F,0)),"")</f>
        <v>3.5</v>
      </c>
      <c r="D19" s="15" t="n">
        <f aca="false">IF(OR($C19="",$C$28=0,$B$6=""),"",ROUND(SUM($C$10:$C19)/$C$28*$B$6,0)-ROUND((SUM($C$10:$C19)-$C19)/$C$28*$B$6,0))</f>
        <v>4</v>
      </c>
    </row>
    <row r="20" customFormat="false" ht="15" hidden="false" customHeight="true" outlineLevel="0" collapsed="false">
      <c r="A20" s="12" t="n">
        <f aca="false">IFERROR(INDEX(Chapters!$C:$C,MATCH($B$4&amp;"|"&amp;$B$5&amp;"|"&amp;(ROW()-9),Chapters!$F:$F,0)),"")</f>
        <v>11</v>
      </c>
      <c r="B20" s="13" t="str">
        <f aca="false">IFERROR(INDEX(Chapters!$D:$D,MATCH($B$4&amp;"|"&amp;$B$5&amp;"|"&amp;(ROW()-9),Chapters!$F:$F,0)),"")</f>
        <v>The Big Laddoo (The Big Laddoo)</v>
      </c>
      <c r="C20" s="14" t="n">
        <f aca="false">IFERROR(INDEX(Chapters!$E:$E,MATCH($B$4&amp;"|"&amp;$B$5&amp;"|"&amp;(ROW()-9),Chapters!$F:$F,0)),"")</f>
        <v>11.5</v>
      </c>
      <c r="D20" s="15" t="n">
        <f aca="false">IF(OR($C20="",$C$28=0,$B$6=""),"",ROUND(SUM($C$10:$C20)/$C$28*$B$6,0)-ROUND((SUM($C$10:$C20)-$C20)/$C$28*$B$6,0))</f>
        <v>12</v>
      </c>
    </row>
    <row r="21" customFormat="false" ht="15" hidden="false" customHeight="true" outlineLevel="0" collapsed="false">
      <c r="A21" s="12" t="n">
        <f aca="false">IFERROR(INDEX(Chapters!$C:$C,MATCH($B$4&amp;"|"&amp;$B$5&amp;"|"&amp;(ROW()-9),Chapters!$F:$F,0)),"")</f>
        <v>12</v>
      </c>
      <c r="B21" s="13" t="str">
        <f aca="false">IFERROR(INDEX(Chapters!$D:$D,MATCH($B$4&amp;"|"&amp;$B$5&amp;"|"&amp;(ROW()-9),Chapters!$F:$F,0)),"")</f>
        <v>Thank God! (Thank God!)</v>
      </c>
      <c r="C21" s="14" t="n">
        <f aca="false">IFERROR(INDEX(Chapters!$E:$E,MATCH($B$4&amp;"|"&amp;$B$5&amp;"|"&amp;(ROW()-9),Chapters!$F:$F,0)),"")</f>
        <v>8.5</v>
      </c>
      <c r="D21" s="15" t="n">
        <f aca="false">IF(OR($C21="",$C$28=0,$B$6=""),"",ROUND(SUM($C$10:$C21)/$C$28*$B$6,0)-ROUND((SUM($C$10:$C21)-$C21)/$C$28*$B$6,0))</f>
        <v>9</v>
      </c>
    </row>
    <row r="22" customFormat="false" ht="15" hidden="false" customHeight="true" outlineLevel="0" collapsed="false">
      <c r="A22" s="12" t="n">
        <f aca="false">IFERROR(INDEX(Chapters!$C:$C,MATCH($B$4&amp;"|"&amp;$B$5&amp;"|"&amp;(ROW()-9),Chapters!$F:$F,0)),"")</f>
        <v>13</v>
      </c>
      <c r="B22" s="13" t="str">
        <f aca="false">IFERROR(INDEX(Chapters!$D:$D,MATCH($B$4&amp;"|"&amp;$B$5&amp;"|"&amp;(ROW()-9),Chapters!$F:$F,0)),"")</f>
        <v>Madhu's Wish (Madhu's Wish)</v>
      </c>
      <c r="C22" s="14" t="n">
        <f aca="false">IFERROR(INDEX(Chapters!$E:$E,MATCH($B$4&amp;"|"&amp;$B$5&amp;"|"&amp;(ROW()-9),Chapters!$F:$F,0)),"")</f>
        <v>10</v>
      </c>
      <c r="D22" s="15" t="n">
        <f aca="false">IF(OR($C22="",$C$28=0,$B$6=""),"",ROUND(SUM($C$10:$C22)/$C$28*$B$6,0)-ROUND((SUM($C$10:$C22)-$C22)/$C$28*$B$6,0))</f>
        <v>11</v>
      </c>
    </row>
    <row r="23" customFormat="false" ht="15" hidden="false" customHeight="true" outlineLevel="0" collapsed="false">
      <c r="A23" s="12" t="n">
        <f aca="false">IFERROR(INDEX(Chapters!$C:$C,MATCH($B$4&amp;"|"&amp;$B$5&amp;"|"&amp;(ROW()-9),Chapters!$F:$F,0)),"")</f>
        <v>14</v>
      </c>
      <c r="B23" s="13" t="str">
        <f aca="false">IFERROR(INDEX(Chapters!$D:$D,MATCH($B$4&amp;"|"&amp;$B$5&amp;"|"&amp;(ROW()-9),Chapters!$F:$F,0)),"")</f>
        <v>The Sky — Picture Reading (Night)</v>
      </c>
      <c r="C23" s="14" t="n">
        <f aca="false">IFERROR(INDEX(Chapters!$E:$E,MATCH($B$4&amp;"|"&amp;$B$5&amp;"|"&amp;(ROW()-9),Chapters!$F:$F,0)),"")</f>
        <v>3.5</v>
      </c>
      <c r="D23" s="15" t="n">
        <f aca="false">IF(OR($C23="",$C$28=0,$B$6=""),"",ROUND(SUM($C$10:$C23)/$C$28*$B$6,0)-ROUND((SUM($C$10:$C23)-$C23)/$C$28*$B$6,0))</f>
        <v>4</v>
      </c>
    </row>
    <row r="24" customFormat="false" ht="15" hidden="false" customHeight="true" outlineLevel="0" collapsed="false">
      <c r="A24" s="12" t="n">
        <f aca="false">IFERROR(INDEX(Chapters!$C:$C,MATCH($B$4&amp;"|"&amp;$B$5&amp;"|"&amp;(ROW()-9),Chapters!$F:$F,0)),"")</f>
        <v>15</v>
      </c>
      <c r="B24" s="13" t="str">
        <f aca="false">IFERROR(INDEX(Chapters!$D:$D,MATCH($B$4&amp;"|"&amp;$B$5&amp;"|"&amp;(ROW()-9),Chapters!$F:$F,0)),"")</f>
        <v>Night (Night)</v>
      </c>
      <c r="C24" s="14" t="n">
        <f aca="false">IFERROR(INDEX(Chapters!$E:$E,MATCH($B$4&amp;"|"&amp;$B$5&amp;"|"&amp;(ROW()-9),Chapters!$F:$F,0)),"")</f>
        <v>6.5</v>
      </c>
      <c r="D24" s="15" t="n">
        <f aca="false">IF(OR($C24="",$C$28=0,$B$6=""),"",ROUND(SUM($C$10:$C24)/$C$28*$B$6,0)-ROUND((SUM($C$10:$C24)-$C24)/$C$28*$B$6,0))</f>
        <v>7</v>
      </c>
    </row>
    <row r="25" customFormat="false" ht="15" hidden="false" customHeight="true" outlineLevel="0" collapsed="false">
      <c r="A25" s="12" t="n">
        <f aca="false">IFERROR(INDEX(Chapters!$C:$C,MATCH($B$4&amp;"|"&amp;$B$5&amp;"|"&amp;(ROW()-9),Chapters!$F:$F,0)),"")</f>
        <v>16</v>
      </c>
      <c r="B25" s="13" t="str">
        <f aca="false">IFERROR(INDEX(Chapters!$D:$D,MATCH($B$4&amp;"|"&amp;$B$5&amp;"|"&amp;(ROW()-9),Chapters!$F:$F,0)),"")</f>
        <v>Chanda Mama Counts the Stars (Chanda Mama Counts the Stars)</v>
      </c>
      <c r="C25" s="14" t="n">
        <f aca="false">IFERROR(INDEX(Chapters!$E:$E,MATCH($B$4&amp;"|"&amp;$B$5&amp;"|"&amp;(ROW()-9),Chapters!$F:$F,0)),"")</f>
        <v>8.5</v>
      </c>
      <c r="D25" s="15" t="n">
        <f aca="false">IF(OR($C25="",$C$28=0,$B$6=""),"",ROUND(SUM($C$10:$C25)/$C$28*$B$6,0)-ROUND((SUM($C$10:$C25)-$C25)/$C$28*$B$6,0))</f>
        <v>9</v>
      </c>
    </row>
    <row r="26" customFormat="false" ht="15" hidden="false" customHeight="true" outlineLevel="0" collapsed="false">
      <c r="A26" s="12" t="n">
        <f aca="false">IFERROR(INDEX(Chapters!$C:$C,MATCH($B$4&amp;"|"&amp;$B$5&amp;"|"&amp;(ROW()-9),Chapters!$F:$F,0)),"")</f>
        <v>17</v>
      </c>
      <c r="B26" s="13" t="str">
        <f aca="false">IFERROR(INDEX(Chapters!$D:$D,MATCH($B$4&amp;"|"&amp;$B$5&amp;"|"&amp;(ROW()-9),Chapters!$F:$F,0)),"")</f>
        <v>Chandrayaan (Chandrayaan)</v>
      </c>
      <c r="C26" s="14" t="n">
        <f aca="false">IFERROR(INDEX(Chapters!$E:$E,MATCH($B$4&amp;"|"&amp;$B$5&amp;"|"&amp;(ROW()-9),Chapters!$F:$F,0)),"")</f>
        <v>10</v>
      </c>
      <c r="D26" s="15" t="n">
        <f aca="false">IF(OR($C26="",$C$28=0,$B$6=""),"",ROUND(SUM($C$10:$C26)/$C$28*$B$6,0)-ROUND((SUM($C$10:$C26)-$C26)/$C$28*$B$6,0))</f>
        <v>11</v>
      </c>
    </row>
    <row r="27" customFormat="false" ht="15" hidden="false" customHeight="true" outlineLevel="0" collapsed="false">
      <c r="A27" s="12" t="str">
        <f aca="false">IFERROR(INDEX(Chapters!$C:$C,MATCH($B$4&amp;"|"&amp;$B$5&amp;"|"&amp;(ROW()-9),Chapters!$F:$F,0)),"")</f>
        <v/>
      </c>
      <c r="B27" s="13" t="str">
        <f aca="false">IFERROR(INDEX(Chapters!$D:$D,MATCH($B$4&amp;"|"&amp;$B$5&amp;"|"&amp;(ROW()-9),Chapters!$F:$F,0)),"")</f>
        <v/>
      </c>
      <c r="C27" s="14" t="str">
        <f aca="false">IFERROR(INDEX(Chapters!$E:$E,MATCH($B$4&amp;"|"&amp;$B$5&amp;"|"&amp;(ROW()-9),Chapters!$F:$F,0)),"")</f>
        <v/>
      </c>
      <c r="D27" s="15" t="str">
        <f aca="false">IF(OR($C27="",$C$28=0,$B$6=""),"",ROUND(SUM($C$10:$C27)/$C$28*$B$6,0)-ROUND((SUM($C$10:$C27)-$C27)/$C$28*$B$6,0))</f>
        <v/>
      </c>
    </row>
    <row r="28" customFormat="false" ht="15" hidden="false" customHeight="true" outlineLevel="0" collapsed="false">
      <c r="B28" s="16" t="s">
        <v>16</v>
      </c>
      <c r="C28" s="17" t="n">
        <f aca="false">SUM(C10:C27)</f>
        <v>129.5</v>
      </c>
      <c r="D28" s="18" t="n">
        <f aca="false">SUM(D10:D27)</f>
        <v>140</v>
      </c>
    </row>
  </sheetData>
  <mergeCells count="3">
    <mergeCell ref="A1:D1"/>
    <mergeCell ref="A2:D2"/>
    <mergeCell ref="A7:D7"/>
  </mergeCells>
  <dataValidations count="3">
    <dataValidation allowBlank="true" errorStyle="stop" operator="between" showDropDown="false" showErrorMessage="false" showInputMessage="false" sqref="B4" type="list">
      <formula1>"English,Mathematics,Science,Social Sciences,The World Around Us"</formula1>
      <formula2>0</formula2>
    </dataValidation>
    <dataValidation allowBlank="true" errorStyle="stop" operator="between" showDropDown="false" showErrorMessage="false" showInputMessage="false" sqref="B5" type="list">
      <formula1>"III,IV,V,VI,VII,VIII,IX"</formula1>
      <formula2>0</formula2>
    </dataValidation>
    <dataValidation allowBlank="true" error="Enter a positive number of periods." errorStyle="stop" errorTitle="Annual budget" operator="greaterThan" showDropDown="false" showErrorMessage="false" showInputMessage="false" sqref="B6" type="whole">
      <formula1>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83203125" defaultRowHeight="15" customHeight="false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8"/>
    <col collapsed="false" customWidth="true" hidden="false" outlineLevel="0" max="3" min="3" style="0" width="7"/>
    <col collapsed="false" customWidth="true" hidden="false" outlineLevel="0" max="4" min="4" style="0" width="46"/>
    <col collapsed="false" customWidth="true" hidden="false" outlineLevel="0" max="5" min="5" style="0" width="10"/>
    <col collapsed="false" customWidth="true" hidden="false" outlineLevel="0" max="6" min="6" style="0" width="26"/>
    <col collapsed="false" customWidth="true" hidden="false" outlineLevel="0" max="7" min="7" style="0" width="9"/>
  </cols>
  <sheetData>
    <row r="1" customFormat="false" ht="15" hidden="false" customHeight="true" outlineLevel="0" collapsed="false">
      <c r="A1" s="3" t="s">
        <v>2</v>
      </c>
      <c r="B1" s="3" t="s">
        <v>5</v>
      </c>
      <c r="C1" s="3" t="s">
        <v>12</v>
      </c>
      <c r="D1" s="3" t="s">
        <v>13</v>
      </c>
      <c r="E1" s="3" t="s">
        <v>14</v>
      </c>
      <c r="F1" s="3" t="s">
        <v>17</v>
      </c>
      <c r="G1" s="3" t="s">
        <v>18</v>
      </c>
    </row>
    <row r="2" customFormat="false" ht="15" hidden="false" customHeight="true" outlineLevel="0" collapsed="false">
      <c r="A2" s="0" t="s">
        <v>3</v>
      </c>
      <c r="B2" s="0" t="s">
        <v>6</v>
      </c>
      <c r="C2" s="0" t="n">
        <v>1</v>
      </c>
      <c r="D2" s="0" t="s">
        <v>19</v>
      </c>
      <c r="E2" s="0" t="n">
        <v>5.5</v>
      </c>
      <c r="F2" s="0" t="s">
        <v>20</v>
      </c>
      <c r="G2" s="0" t="n">
        <v>1</v>
      </c>
    </row>
    <row r="3" customFormat="false" ht="15" hidden="false" customHeight="true" outlineLevel="0" collapsed="false">
      <c r="A3" s="0" t="s">
        <v>3</v>
      </c>
      <c r="B3" s="0" t="s">
        <v>6</v>
      </c>
      <c r="C3" s="0" t="n">
        <v>2</v>
      </c>
      <c r="D3" s="0" t="s">
        <v>21</v>
      </c>
      <c r="E3" s="0" t="n">
        <v>6.5</v>
      </c>
      <c r="F3" s="0" t="s">
        <v>22</v>
      </c>
      <c r="G3" s="0" t="n">
        <v>2</v>
      </c>
    </row>
    <row r="4" customFormat="false" ht="15" hidden="false" customHeight="true" outlineLevel="0" collapsed="false">
      <c r="A4" s="0" t="s">
        <v>3</v>
      </c>
      <c r="B4" s="0" t="s">
        <v>6</v>
      </c>
      <c r="C4" s="0" t="n">
        <v>3</v>
      </c>
      <c r="D4" s="0" t="s">
        <v>23</v>
      </c>
      <c r="E4" s="0" t="n">
        <v>11.5</v>
      </c>
      <c r="F4" s="0" t="s">
        <v>24</v>
      </c>
      <c r="G4" s="0" t="n">
        <v>3</v>
      </c>
    </row>
    <row r="5" customFormat="false" ht="15" hidden="false" customHeight="true" outlineLevel="0" collapsed="false">
      <c r="A5" s="0" t="s">
        <v>3</v>
      </c>
      <c r="B5" s="0" t="s">
        <v>6</v>
      </c>
      <c r="C5" s="0" t="n">
        <v>4</v>
      </c>
      <c r="D5" s="0" t="s">
        <v>25</v>
      </c>
      <c r="E5" s="0" t="n">
        <v>10</v>
      </c>
      <c r="F5" s="0" t="s">
        <v>26</v>
      </c>
      <c r="G5" s="0" t="n">
        <v>4</v>
      </c>
    </row>
    <row r="6" customFormat="false" ht="15" hidden="false" customHeight="true" outlineLevel="0" collapsed="false">
      <c r="A6" s="0" t="s">
        <v>3</v>
      </c>
      <c r="B6" s="0" t="s">
        <v>6</v>
      </c>
      <c r="C6" s="0" t="n">
        <v>5</v>
      </c>
      <c r="D6" s="0" t="s">
        <v>27</v>
      </c>
      <c r="E6" s="0" t="n">
        <v>3.5</v>
      </c>
      <c r="F6" s="0" t="s">
        <v>28</v>
      </c>
      <c r="G6" s="0" t="n">
        <v>5</v>
      </c>
    </row>
    <row r="7" customFormat="false" ht="15" hidden="false" customHeight="true" outlineLevel="0" collapsed="false">
      <c r="A7" s="0" t="s">
        <v>3</v>
      </c>
      <c r="B7" s="0" t="s">
        <v>6</v>
      </c>
      <c r="C7" s="0" t="n">
        <v>6</v>
      </c>
      <c r="D7" s="0" t="s">
        <v>29</v>
      </c>
      <c r="E7" s="0" t="n">
        <v>5.5</v>
      </c>
      <c r="F7" s="0" t="s">
        <v>30</v>
      </c>
      <c r="G7" s="0" t="n">
        <v>6</v>
      </c>
    </row>
    <row r="8" customFormat="false" ht="15" hidden="false" customHeight="true" outlineLevel="0" collapsed="false">
      <c r="A8" s="0" t="s">
        <v>3</v>
      </c>
      <c r="B8" s="0" t="s">
        <v>6</v>
      </c>
      <c r="C8" s="0" t="n">
        <v>7</v>
      </c>
      <c r="D8" s="0" t="s">
        <v>31</v>
      </c>
      <c r="E8" s="0" t="n">
        <v>6.5</v>
      </c>
      <c r="F8" s="0" t="s">
        <v>32</v>
      </c>
      <c r="G8" s="0" t="n">
        <v>7</v>
      </c>
    </row>
    <row r="9" customFormat="false" ht="15" hidden="false" customHeight="true" outlineLevel="0" collapsed="false">
      <c r="A9" s="0" t="s">
        <v>3</v>
      </c>
      <c r="B9" s="0" t="s">
        <v>6</v>
      </c>
      <c r="C9" s="0" t="n">
        <v>8</v>
      </c>
      <c r="D9" s="0" t="s">
        <v>33</v>
      </c>
      <c r="E9" s="0" t="n">
        <v>10</v>
      </c>
      <c r="F9" s="0" t="s">
        <v>34</v>
      </c>
      <c r="G9" s="0" t="n">
        <v>8</v>
      </c>
    </row>
    <row r="10" customFormat="false" ht="15" hidden="false" customHeight="true" outlineLevel="0" collapsed="false">
      <c r="A10" s="0" t="s">
        <v>3</v>
      </c>
      <c r="B10" s="0" t="s">
        <v>6</v>
      </c>
      <c r="C10" s="0" t="n">
        <v>9</v>
      </c>
      <c r="D10" s="0" t="s">
        <v>35</v>
      </c>
      <c r="E10" s="0" t="n">
        <v>8.5</v>
      </c>
      <c r="F10" s="0" t="s">
        <v>36</v>
      </c>
      <c r="G10" s="0" t="n">
        <v>9</v>
      </c>
    </row>
    <row r="11" customFormat="false" ht="15" hidden="false" customHeight="true" outlineLevel="0" collapsed="false">
      <c r="A11" s="0" t="s">
        <v>3</v>
      </c>
      <c r="B11" s="0" t="s">
        <v>6</v>
      </c>
      <c r="C11" s="0" t="n">
        <v>10</v>
      </c>
      <c r="D11" s="0" t="s">
        <v>37</v>
      </c>
      <c r="E11" s="0" t="n">
        <v>3.5</v>
      </c>
      <c r="F11" s="0" t="s">
        <v>38</v>
      </c>
      <c r="G11" s="0" t="n">
        <v>10</v>
      </c>
    </row>
    <row r="12" customFormat="false" ht="15" hidden="false" customHeight="true" outlineLevel="0" collapsed="false">
      <c r="A12" s="0" t="s">
        <v>3</v>
      </c>
      <c r="B12" s="0" t="s">
        <v>6</v>
      </c>
      <c r="C12" s="0" t="n">
        <v>11</v>
      </c>
      <c r="D12" s="0" t="s">
        <v>39</v>
      </c>
      <c r="E12" s="0" t="n">
        <v>11.5</v>
      </c>
      <c r="F12" s="0" t="s">
        <v>40</v>
      </c>
      <c r="G12" s="0" t="n">
        <v>11</v>
      </c>
    </row>
    <row r="13" customFormat="false" ht="15" hidden="false" customHeight="true" outlineLevel="0" collapsed="false">
      <c r="A13" s="0" t="s">
        <v>3</v>
      </c>
      <c r="B13" s="0" t="s">
        <v>6</v>
      </c>
      <c r="C13" s="0" t="n">
        <v>12</v>
      </c>
      <c r="D13" s="0" t="s">
        <v>41</v>
      </c>
      <c r="E13" s="0" t="n">
        <v>8.5</v>
      </c>
      <c r="F13" s="0" t="s">
        <v>42</v>
      </c>
      <c r="G13" s="0" t="n">
        <v>12</v>
      </c>
    </row>
    <row r="14" customFormat="false" ht="15" hidden="false" customHeight="true" outlineLevel="0" collapsed="false">
      <c r="A14" s="0" t="s">
        <v>3</v>
      </c>
      <c r="B14" s="0" t="s">
        <v>6</v>
      </c>
      <c r="C14" s="0" t="n">
        <v>13</v>
      </c>
      <c r="D14" s="0" t="s">
        <v>43</v>
      </c>
      <c r="E14" s="0" t="n">
        <v>10</v>
      </c>
      <c r="F14" s="0" t="s">
        <v>44</v>
      </c>
      <c r="G14" s="0" t="n">
        <v>13</v>
      </c>
    </row>
    <row r="15" customFormat="false" ht="15" hidden="false" customHeight="true" outlineLevel="0" collapsed="false">
      <c r="A15" s="0" t="s">
        <v>3</v>
      </c>
      <c r="B15" s="0" t="s">
        <v>6</v>
      </c>
      <c r="C15" s="0" t="n">
        <v>14</v>
      </c>
      <c r="D15" s="0" t="s">
        <v>45</v>
      </c>
      <c r="E15" s="0" t="n">
        <v>3.5</v>
      </c>
      <c r="F15" s="0" t="s">
        <v>46</v>
      </c>
      <c r="G15" s="0" t="n">
        <v>14</v>
      </c>
    </row>
    <row r="16" customFormat="false" ht="15" hidden="false" customHeight="true" outlineLevel="0" collapsed="false">
      <c r="A16" s="0" t="s">
        <v>3</v>
      </c>
      <c r="B16" s="0" t="s">
        <v>6</v>
      </c>
      <c r="C16" s="0" t="n">
        <v>15</v>
      </c>
      <c r="D16" s="0" t="s">
        <v>47</v>
      </c>
      <c r="E16" s="0" t="n">
        <v>6.5</v>
      </c>
      <c r="F16" s="0" t="s">
        <v>48</v>
      </c>
      <c r="G16" s="0" t="n">
        <v>15</v>
      </c>
    </row>
    <row r="17" customFormat="false" ht="15" hidden="false" customHeight="true" outlineLevel="0" collapsed="false">
      <c r="A17" s="0" t="s">
        <v>3</v>
      </c>
      <c r="B17" s="0" t="s">
        <v>6</v>
      </c>
      <c r="C17" s="0" t="n">
        <v>16</v>
      </c>
      <c r="D17" s="0" t="s">
        <v>49</v>
      </c>
      <c r="E17" s="0" t="n">
        <v>8.5</v>
      </c>
      <c r="F17" s="0" t="s">
        <v>50</v>
      </c>
      <c r="G17" s="0" t="n">
        <v>16</v>
      </c>
    </row>
    <row r="18" customFormat="false" ht="15" hidden="false" customHeight="true" outlineLevel="0" collapsed="false">
      <c r="A18" s="0" t="s">
        <v>3</v>
      </c>
      <c r="B18" s="0" t="s">
        <v>6</v>
      </c>
      <c r="C18" s="0" t="n">
        <v>17</v>
      </c>
      <c r="D18" s="0" t="s">
        <v>51</v>
      </c>
      <c r="E18" s="0" t="n">
        <v>10</v>
      </c>
      <c r="F18" s="0" t="s">
        <v>52</v>
      </c>
      <c r="G18" s="0" t="n">
        <v>17</v>
      </c>
    </row>
    <row r="19" customFormat="false" ht="15" hidden="false" customHeight="true" outlineLevel="0" collapsed="false">
      <c r="A19" s="0" t="s">
        <v>3</v>
      </c>
      <c r="B19" s="0" t="s">
        <v>53</v>
      </c>
      <c r="C19" s="0" t="n">
        <v>1</v>
      </c>
      <c r="D19" s="0" t="s">
        <v>54</v>
      </c>
      <c r="E19" s="0" t="n">
        <v>10</v>
      </c>
      <c r="F19" s="0" t="s">
        <v>55</v>
      </c>
      <c r="G19" s="0" t="n">
        <v>1</v>
      </c>
    </row>
    <row r="20" customFormat="false" ht="15" hidden="false" customHeight="true" outlineLevel="0" collapsed="false">
      <c r="A20" s="0" t="s">
        <v>3</v>
      </c>
      <c r="B20" s="0" t="s">
        <v>53</v>
      </c>
      <c r="C20" s="0" t="n">
        <v>2</v>
      </c>
      <c r="D20" s="0" t="s">
        <v>56</v>
      </c>
      <c r="E20" s="0" t="n">
        <v>11.5</v>
      </c>
      <c r="F20" s="0" t="s">
        <v>57</v>
      </c>
      <c r="G20" s="0" t="n">
        <v>2</v>
      </c>
    </row>
    <row r="21" customFormat="false" ht="15" hidden="false" customHeight="true" outlineLevel="0" collapsed="false">
      <c r="A21" s="0" t="s">
        <v>3</v>
      </c>
      <c r="B21" s="0" t="s">
        <v>53</v>
      </c>
      <c r="C21" s="0" t="n">
        <v>3</v>
      </c>
      <c r="D21" s="0" t="s">
        <v>58</v>
      </c>
      <c r="E21" s="0" t="n">
        <v>9.5</v>
      </c>
      <c r="F21" s="0" t="s">
        <v>59</v>
      </c>
      <c r="G21" s="0" t="n">
        <v>3</v>
      </c>
    </row>
    <row r="22" customFormat="false" ht="15" hidden="false" customHeight="true" outlineLevel="0" collapsed="false">
      <c r="A22" s="0" t="s">
        <v>3</v>
      </c>
      <c r="B22" s="0" t="s">
        <v>53</v>
      </c>
      <c r="C22" s="0" t="n">
        <v>4</v>
      </c>
      <c r="D22" s="0" t="s">
        <v>60</v>
      </c>
      <c r="E22" s="0" t="n">
        <v>8.5</v>
      </c>
      <c r="F22" s="0" t="s">
        <v>61</v>
      </c>
      <c r="G22" s="0" t="n">
        <v>4</v>
      </c>
    </row>
    <row r="23" customFormat="false" ht="15" hidden="false" customHeight="true" outlineLevel="0" collapsed="false">
      <c r="A23" s="0" t="s">
        <v>3</v>
      </c>
      <c r="B23" s="0" t="s">
        <v>53</v>
      </c>
      <c r="C23" s="0" t="n">
        <v>5</v>
      </c>
      <c r="D23" s="0" t="s">
        <v>62</v>
      </c>
      <c r="E23" s="0" t="n">
        <v>8.5</v>
      </c>
      <c r="F23" s="0" t="s">
        <v>63</v>
      </c>
      <c r="G23" s="0" t="n">
        <v>5</v>
      </c>
    </row>
    <row r="24" customFormat="false" ht="15" hidden="false" customHeight="true" outlineLevel="0" collapsed="false">
      <c r="A24" s="0" t="s">
        <v>3</v>
      </c>
      <c r="B24" s="0" t="s">
        <v>53</v>
      </c>
      <c r="C24" s="0" t="n">
        <v>6</v>
      </c>
      <c r="D24" s="0" t="s">
        <v>64</v>
      </c>
      <c r="E24" s="0" t="n">
        <v>10</v>
      </c>
      <c r="F24" s="0" t="s">
        <v>65</v>
      </c>
      <c r="G24" s="0" t="n">
        <v>6</v>
      </c>
    </row>
    <row r="25" customFormat="false" ht="15" hidden="false" customHeight="true" outlineLevel="0" collapsed="false">
      <c r="A25" s="0" t="s">
        <v>3</v>
      </c>
      <c r="B25" s="0" t="s">
        <v>53</v>
      </c>
      <c r="C25" s="0" t="n">
        <v>7</v>
      </c>
      <c r="D25" s="0" t="s">
        <v>66</v>
      </c>
      <c r="E25" s="0" t="n">
        <v>10</v>
      </c>
      <c r="F25" s="0" t="s">
        <v>67</v>
      </c>
      <c r="G25" s="0" t="n">
        <v>7</v>
      </c>
    </row>
    <row r="26" customFormat="false" ht="15" hidden="false" customHeight="true" outlineLevel="0" collapsed="false">
      <c r="A26" s="0" t="s">
        <v>3</v>
      </c>
      <c r="B26" s="0" t="s">
        <v>53</v>
      </c>
      <c r="C26" s="0" t="n">
        <v>8</v>
      </c>
      <c r="D26" s="0" t="s">
        <v>68</v>
      </c>
      <c r="E26" s="0" t="n">
        <v>13</v>
      </c>
      <c r="F26" s="0" t="s">
        <v>69</v>
      </c>
      <c r="G26" s="0" t="n">
        <v>8</v>
      </c>
    </row>
    <row r="27" customFormat="false" ht="15" hidden="false" customHeight="true" outlineLevel="0" collapsed="false">
      <c r="A27" s="0" t="s">
        <v>3</v>
      </c>
      <c r="B27" s="0" t="s">
        <v>53</v>
      </c>
      <c r="C27" s="0" t="n">
        <v>9</v>
      </c>
      <c r="D27" s="0" t="s">
        <v>70</v>
      </c>
      <c r="E27" s="0" t="n">
        <v>8.5</v>
      </c>
      <c r="F27" s="0" t="s">
        <v>71</v>
      </c>
      <c r="G27" s="0" t="n">
        <v>9</v>
      </c>
    </row>
    <row r="28" customFormat="false" ht="15" hidden="false" customHeight="true" outlineLevel="0" collapsed="false">
      <c r="A28" s="0" t="s">
        <v>3</v>
      </c>
      <c r="B28" s="0" t="s">
        <v>53</v>
      </c>
      <c r="C28" s="0" t="n">
        <v>10</v>
      </c>
      <c r="D28" s="0" t="s">
        <v>72</v>
      </c>
      <c r="E28" s="0" t="n">
        <v>10</v>
      </c>
      <c r="F28" s="0" t="s">
        <v>73</v>
      </c>
      <c r="G28" s="0" t="n">
        <v>10</v>
      </c>
    </row>
    <row r="29" customFormat="false" ht="15" hidden="false" customHeight="true" outlineLevel="0" collapsed="false">
      <c r="A29" s="0" t="s">
        <v>3</v>
      </c>
      <c r="B29" s="0" t="s">
        <v>53</v>
      </c>
      <c r="C29" s="0" t="n">
        <v>11</v>
      </c>
      <c r="D29" s="0" t="s">
        <v>74</v>
      </c>
      <c r="E29" s="0" t="n">
        <v>13</v>
      </c>
      <c r="F29" s="0" t="s">
        <v>75</v>
      </c>
      <c r="G29" s="0" t="n">
        <v>11</v>
      </c>
    </row>
    <row r="30" customFormat="false" ht="15" hidden="false" customHeight="true" outlineLevel="0" collapsed="false">
      <c r="A30" s="0" t="s">
        <v>3</v>
      </c>
      <c r="B30" s="0" t="s">
        <v>53</v>
      </c>
      <c r="C30" s="0" t="n">
        <v>12</v>
      </c>
      <c r="D30" s="0" t="s">
        <v>76</v>
      </c>
      <c r="E30" s="0" t="n">
        <v>8.5</v>
      </c>
      <c r="F30" s="0" t="s">
        <v>77</v>
      </c>
      <c r="G30" s="0" t="n">
        <v>12</v>
      </c>
    </row>
    <row r="31" customFormat="false" ht="15" hidden="false" customHeight="true" outlineLevel="0" collapsed="false">
      <c r="A31" s="0" t="s">
        <v>3</v>
      </c>
      <c r="B31" s="0" t="s">
        <v>78</v>
      </c>
      <c r="C31" s="0" t="n">
        <v>1</v>
      </c>
      <c r="D31" s="0" t="s">
        <v>79</v>
      </c>
      <c r="E31" s="0" t="n">
        <v>8.5</v>
      </c>
      <c r="F31" s="0" t="s">
        <v>80</v>
      </c>
      <c r="G31" s="0" t="n">
        <v>1</v>
      </c>
    </row>
    <row r="32" customFormat="false" ht="15" hidden="false" customHeight="true" outlineLevel="0" collapsed="false">
      <c r="A32" s="0" t="s">
        <v>3</v>
      </c>
      <c r="B32" s="0" t="s">
        <v>78</v>
      </c>
      <c r="C32" s="0" t="n">
        <v>2</v>
      </c>
      <c r="D32" s="0" t="s">
        <v>81</v>
      </c>
      <c r="E32" s="0" t="n">
        <v>11.5</v>
      </c>
      <c r="F32" s="0" t="s">
        <v>82</v>
      </c>
      <c r="G32" s="0" t="n">
        <v>2</v>
      </c>
    </row>
    <row r="33" customFormat="false" ht="15" hidden="false" customHeight="true" outlineLevel="0" collapsed="false">
      <c r="A33" s="0" t="s">
        <v>3</v>
      </c>
      <c r="B33" s="0" t="s">
        <v>78</v>
      </c>
      <c r="C33" s="0" t="n">
        <v>3</v>
      </c>
      <c r="D33" s="0" t="s">
        <v>83</v>
      </c>
      <c r="E33" s="0" t="n">
        <v>11.5</v>
      </c>
      <c r="F33" s="0" t="s">
        <v>84</v>
      </c>
      <c r="G33" s="0" t="n">
        <v>3</v>
      </c>
    </row>
    <row r="34" customFormat="false" ht="15" hidden="false" customHeight="true" outlineLevel="0" collapsed="false">
      <c r="A34" s="0" t="s">
        <v>3</v>
      </c>
      <c r="B34" s="0" t="s">
        <v>78</v>
      </c>
      <c r="C34" s="0" t="n">
        <v>4</v>
      </c>
      <c r="D34" s="0" t="s">
        <v>85</v>
      </c>
      <c r="E34" s="0" t="n">
        <v>8.5</v>
      </c>
      <c r="F34" s="0" t="s">
        <v>86</v>
      </c>
      <c r="G34" s="0" t="n">
        <v>4</v>
      </c>
    </row>
    <row r="35" customFormat="false" ht="15" hidden="false" customHeight="true" outlineLevel="0" collapsed="false">
      <c r="A35" s="0" t="s">
        <v>3</v>
      </c>
      <c r="B35" s="0" t="s">
        <v>78</v>
      </c>
      <c r="C35" s="0" t="n">
        <v>5</v>
      </c>
      <c r="D35" s="0" t="s">
        <v>87</v>
      </c>
      <c r="E35" s="0" t="n">
        <v>8.5</v>
      </c>
      <c r="F35" s="0" t="s">
        <v>88</v>
      </c>
      <c r="G35" s="0" t="n">
        <v>5</v>
      </c>
    </row>
    <row r="36" customFormat="false" ht="15" hidden="false" customHeight="true" outlineLevel="0" collapsed="false">
      <c r="A36" s="0" t="s">
        <v>3</v>
      </c>
      <c r="B36" s="0" t="s">
        <v>78</v>
      </c>
      <c r="C36" s="0" t="n">
        <v>6</v>
      </c>
      <c r="D36" s="0" t="s">
        <v>89</v>
      </c>
      <c r="E36" s="0" t="n">
        <v>10</v>
      </c>
      <c r="F36" s="0" t="s">
        <v>90</v>
      </c>
      <c r="G36" s="0" t="n">
        <v>6</v>
      </c>
    </row>
    <row r="37" customFormat="false" ht="15" hidden="false" customHeight="true" outlineLevel="0" collapsed="false">
      <c r="A37" s="0" t="s">
        <v>3</v>
      </c>
      <c r="B37" s="0" t="s">
        <v>78</v>
      </c>
      <c r="C37" s="0" t="n">
        <v>7</v>
      </c>
      <c r="D37" s="0" t="s">
        <v>91</v>
      </c>
      <c r="E37" s="0" t="n">
        <v>13</v>
      </c>
      <c r="F37" s="0" t="s">
        <v>92</v>
      </c>
      <c r="G37" s="0" t="n">
        <v>7</v>
      </c>
    </row>
    <row r="38" customFormat="false" ht="15" hidden="false" customHeight="true" outlineLevel="0" collapsed="false">
      <c r="A38" s="0" t="s">
        <v>3</v>
      </c>
      <c r="B38" s="0" t="s">
        <v>78</v>
      </c>
      <c r="C38" s="0" t="n">
        <v>8</v>
      </c>
      <c r="D38" s="0" t="s">
        <v>93</v>
      </c>
      <c r="E38" s="0" t="n">
        <v>10</v>
      </c>
      <c r="F38" s="0" t="s">
        <v>94</v>
      </c>
      <c r="G38" s="0" t="n">
        <v>8</v>
      </c>
    </row>
    <row r="39" customFormat="false" ht="15" hidden="false" customHeight="true" outlineLevel="0" collapsed="false">
      <c r="A39" s="0" t="s">
        <v>3</v>
      </c>
      <c r="B39" s="0" t="s">
        <v>78</v>
      </c>
      <c r="C39" s="0" t="n">
        <v>9</v>
      </c>
      <c r="D39" s="0" t="s">
        <v>95</v>
      </c>
      <c r="E39" s="0" t="n">
        <v>13</v>
      </c>
      <c r="F39" s="0" t="s">
        <v>96</v>
      </c>
      <c r="G39" s="0" t="n">
        <v>9</v>
      </c>
    </row>
    <row r="40" customFormat="false" ht="15" hidden="false" customHeight="true" outlineLevel="0" collapsed="false">
      <c r="A40" s="0" t="s">
        <v>3</v>
      </c>
      <c r="B40" s="0" t="s">
        <v>78</v>
      </c>
      <c r="C40" s="0" t="n">
        <v>10</v>
      </c>
      <c r="D40" s="0" t="s">
        <v>97</v>
      </c>
      <c r="E40" s="0" t="n">
        <v>8.5</v>
      </c>
      <c r="F40" s="0" t="s">
        <v>98</v>
      </c>
      <c r="G40" s="0" t="n">
        <v>10</v>
      </c>
    </row>
    <row r="41" customFormat="false" ht="15" hidden="false" customHeight="true" outlineLevel="0" collapsed="false">
      <c r="A41" s="0" t="s">
        <v>3</v>
      </c>
      <c r="B41" s="0" t="s">
        <v>99</v>
      </c>
      <c r="C41" s="0" t="n">
        <v>1</v>
      </c>
      <c r="D41" s="0" t="s">
        <v>100</v>
      </c>
      <c r="E41" s="0" t="n">
        <v>10.5</v>
      </c>
      <c r="F41" s="0" t="s">
        <v>101</v>
      </c>
      <c r="G41" s="0" t="n">
        <v>1</v>
      </c>
    </row>
    <row r="42" customFormat="false" ht="15" hidden="false" customHeight="true" outlineLevel="0" collapsed="false">
      <c r="A42" s="0" t="s">
        <v>3</v>
      </c>
      <c r="B42" s="0" t="s">
        <v>99</v>
      </c>
      <c r="C42" s="0" t="n">
        <v>2</v>
      </c>
      <c r="D42" s="0" t="s">
        <v>102</v>
      </c>
      <c r="E42" s="0" t="n">
        <v>7.5</v>
      </c>
      <c r="F42" s="0" t="s">
        <v>103</v>
      </c>
      <c r="G42" s="0" t="n">
        <v>2</v>
      </c>
    </row>
    <row r="43" customFormat="false" ht="15" hidden="false" customHeight="true" outlineLevel="0" collapsed="false">
      <c r="A43" s="0" t="s">
        <v>3</v>
      </c>
      <c r="B43" s="0" t="s">
        <v>99</v>
      </c>
      <c r="C43" s="0" t="n">
        <v>3</v>
      </c>
      <c r="D43" s="0" t="s">
        <v>104</v>
      </c>
      <c r="E43" s="0" t="n">
        <v>13</v>
      </c>
      <c r="F43" s="0" t="s">
        <v>105</v>
      </c>
      <c r="G43" s="0" t="n">
        <v>3</v>
      </c>
    </row>
    <row r="44" customFormat="false" ht="15" hidden="false" customHeight="true" outlineLevel="0" collapsed="false">
      <c r="A44" s="0" t="s">
        <v>3</v>
      </c>
      <c r="B44" s="0" t="s">
        <v>99</v>
      </c>
      <c r="C44" s="0" t="n">
        <v>4</v>
      </c>
      <c r="D44" s="0" t="s">
        <v>106</v>
      </c>
      <c r="E44" s="0" t="n">
        <v>14</v>
      </c>
      <c r="F44" s="0" t="s">
        <v>107</v>
      </c>
      <c r="G44" s="0" t="n">
        <v>4</v>
      </c>
    </row>
    <row r="45" customFormat="false" ht="15" hidden="false" customHeight="true" outlineLevel="0" collapsed="false">
      <c r="A45" s="0" t="s">
        <v>3</v>
      </c>
      <c r="B45" s="0" t="s">
        <v>99</v>
      </c>
      <c r="C45" s="0" t="n">
        <v>5</v>
      </c>
      <c r="D45" s="0" t="s">
        <v>108</v>
      </c>
      <c r="E45" s="0" t="n">
        <v>14</v>
      </c>
      <c r="F45" s="0" t="s">
        <v>109</v>
      </c>
      <c r="G45" s="0" t="n">
        <v>5</v>
      </c>
    </row>
    <row r="46" customFormat="false" ht="15" hidden="false" customHeight="true" outlineLevel="0" collapsed="false">
      <c r="A46" s="0" t="s">
        <v>3</v>
      </c>
      <c r="B46" s="0" t="s">
        <v>99</v>
      </c>
      <c r="C46" s="0" t="n">
        <v>6</v>
      </c>
      <c r="D46" s="0" t="s">
        <v>110</v>
      </c>
      <c r="E46" s="0" t="n">
        <v>15.5</v>
      </c>
      <c r="F46" s="0" t="s">
        <v>111</v>
      </c>
      <c r="G46" s="0" t="n">
        <v>6</v>
      </c>
    </row>
    <row r="47" customFormat="false" ht="15" hidden="false" customHeight="true" outlineLevel="0" collapsed="false">
      <c r="A47" s="0" t="s">
        <v>3</v>
      </c>
      <c r="B47" s="0" t="s">
        <v>99</v>
      </c>
      <c r="C47" s="0" t="n">
        <v>7</v>
      </c>
      <c r="D47" s="0" t="s">
        <v>112</v>
      </c>
      <c r="E47" s="0" t="n">
        <v>9</v>
      </c>
      <c r="F47" s="0" t="s">
        <v>113</v>
      </c>
      <c r="G47" s="0" t="n">
        <v>7</v>
      </c>
    </row>
    <row r="48" customFormat="false" ht="15" hidden="false" customHeight="true" outlineLevel="0" collapsed="false">
      <c r="A48" s="0" t="s">
        <v>3</v>
      </c>
      <c r="B48" s="0" t="s">
        <v>99</v>
      </c>
      <c r="C48" s="0" t="n">
        <v>8</v>
      </c>
      <c r="D48" s="0" t="s">
        <v>114</v>
      </c>
      <c r="E48" s="0" t="n">
        <v>16.5</v>
      </c>
      <c r="F48" s="0" t="s">
        <v>115</v>
      </c>
      <c r="G48" s="0" t="n">
        <v>8</v>
      </c>
    </row>
    <row r="49" customFormat="false" ht="15" hidden="false" customHeight="true" outlineLevel="0" collapsed="false">
      <c r="A49" s="0" t="s">
        <v>3</v>
      </c>
      <c r="B49" s="0" t="s">
        <v>99</v>
      </c>
      <c r="C49" s="0" t="n">
        <v>9</v>
      </c>
      <c r="D49" s="0" t="s">
        <v>116</v>
      </c>
      <c r="E49" s="0" t="n">
        <v>15</v>
      </c>
      <c r="F49" s="0" t="s">
        <v>117</v>
      </c>
      <c r="G49" s="0" t="n">
        <v>9</v>
      </c>
    </row>
    <row r="50" customFormat="false" ht="15" hidden="false" customHeight="true" outlineLevel="0" collapsed="false">
      <c r="A50" s="0" t="s">
        <v>3</v>
      </c>
      <c r="B50" s="0" t="s">
        <v>99</v>
      </c>
      <c r="C50" s="0" t="n">
        <v>10</v>
      </c>
      <c r="D50" s="0" t="s">
        <v>118</v>
      </c>
      <c r="E50" s="0" t="n">
        <v>11.5</v>
      </c>
      <c r="F50" s="0" t="s">
        <v>119</v>
      </c>
      <c r="G50" s="0" t="n">
        <v>10</v>
      </c>
    </row>
    <row r="51" customFormat="false" ht="15" hidden="false" customHeight="true" outlineLevel="0" collapsed="false">
      <c r="A51" s="0" t="s">
        <v>3</v>
      </c>
      <c r="B51" s="0" t="s">
        <v>99</v>
      </c>
      <c r="C51" s="0" t="n">
        <v>11</v>
      </c>
      <c r="D51" s="0" t="s">
        <v>120</v>
      </c>
      <c r="E51" s="0" t="n">
        <v>10</v>
      </c>
      <c r="F51" s="0" t="s">
        <v>121</v>
      </c>
      <c r="G51" s="0" t="n">
        <v>11</v>
      </c>
    </row>
    <row r="52" customFormat="false" ht="15" hidden="false" customHeight="true" outlineLevel="0" collapsed="false">
      <c r="A52" s="0" t="s">
        <v>3</v>
      </c>
      <c r="B52" s="0" t="s">
        <v>99</v>
      </c>
      <c r="C52" s="0" t="n">
        <v>12</v>
      </c>
      <c r="D52" s="0" t="s">
        <v>122</v>
      </c>
      <c r="E52" s="0" t="n">
        <v>7.5</v>
      </c>
      <c r="F52" s="0" t="s">
        <v>123</v>
      </c>
      <c r="G52" s="0" t="n">
        <v>12</v>
      </c>
    </row>
    <row r="53" customFormat="false" ht="15" hidden="false" customHeight="true" outlineLevel="0" collapsed="false">
      <c r="A53" s="0" t="s">
        <v>3</v>
      </c>
      <c r="B53" s="0" t="s">
        <v>99</v>
      </c>
      <c r="C53" s="0" t="n">
        <v>13</v>
      </c>
      <c r="D53" s="0" t="s">
        <v>124</v>
      </c>
      <c r="E53" s="0" t="n">
        <v>11.5</v>
      </c>
      <c r="F53" s="0" t="s">
        <v>125</v>
      </c>
      <c r="G53" s="0" t="n">
        <v>13</v>
      </c>
    </row>
    <row r="54" customFormat="false" ht="15" hidden="false" customHeight="true" outlineLevel="0" collapsed="false">
      <c r="A54" s="0" t="s">
        <v>3</v>
      </c>
      <c r="B54" s="0" t="s">
        <v>99</v>
      </c>
      <c r="C54" s="0" t="n">
        <v>14</v>
      </c>
      <c r="D54" s="0" t="s">
        <v>126</v>
      </c>
      <c r="E54" s="0" t="n">
        <v>11.5</v>
      </c>
      <c r="F54" s="0" t="s">
        <v>127</v>
      </c>
      <c r="G54" s="0" t="n">
        <v>14</v>
      </c>
    </row>
    <row r="55" customFormat="false" ht="15" hidden="false" customHeight="true" outlineLevel="0" collapsed="false">
      <c r="A55" s="0" t="s">
        <v>3</v>
      </c>
      <c r="B55" s="0" t="s">
        <v>99</v>
      </c>
      <c r="C55" s="0" t="n">
        <v>15</v>
      </c>
      <c r="D55" s="0" t="s">
        <v>128</v>
      </c>
      <c r="E55" s="0" t="n">
        <v>11</v>
      </c>
      <c r="F55" s="0" t="s">
        <v>129</v>
      </c>
      <c r="G55" s="0" t="n">
        <v>15</v>
      </c>
    </row>
    <row r="56" customFormat="false" ht="15" hidden="false" customHeight="true" outlineLevel="0" collapsed="false">
      <c r="A56" s="0" t="s">
        <v>3</v>
      </c>
      <c r="B56" s="0" t="s">
        <v>99</v>
      </c>
      <c r="C56" s="0" t="n">
        <v>16</v>
      </c>
      <c r="D56" s="0" t="s">
        <v>130</v>
      </c>
      <c r="E56" s="0" t="n">
        <v>4.5</v>
      </c>
      <c r="F56" s="0" t="s">
        <v>131</v>
      </c>
      <c r="G56" s="0" t="n">
        <v>16</v>
      </c>
    </row>
    <row r="57" customFormat="false" ht="15" hidden="false" customHeight="true" outlineLevel="0" collapsed="false">
      <c r="A57" s="0" t="s">
        <v>3</v>
      </c>
      <c r="B57" s="0" t="s">
        <v>132</v>
      </c>
      <c r="C57" s="0" t="n">
        <v>1</v>
      </c>
      <c r="D57" s="0" t="s">
        <v>133</v>
      </c>
      <c r="E57" s="0" t="n">
        <v>16.5</v>
      </c>
      <c r="F57" s="0" t="s">
        <v>134</v>
      </c>
      <c r="G57" s="0" t="n">
        <v>1</v>
      </c>
    </row>
    <row r="58" customFormat="false" ht="15" hidden="false" customHeight="true" outlineLevel="0" collapsed="false">
      <c r="A58" s="0" t="s">
        <v>3</v>
      </c>
      <c r="B58" s="0" t="s">
        <v>132</v>
      </c>
      <c r="C58" s="0" t="n">
        <v>2</v>
      </c>
      <c r="D58" s="0" t="s">
        <v>135</v>
      </c>
      <c r="E58" s="0" t="n">
        <v>14</v>
      </c>
      <c r="F58" s="0" t="s">
        <v>136</v>
      </c>
      <c r="G58" s="0" t="n">
        <v>2</v>
      </c>
    </row>
    <row r="59" customFormat="false" ht="15" hidden="false" customHeight="true" outlineLevel="0" collapsed="false">
      <c r="A59" s="0" t="s">
        <v>3</v>
      </c>
      <c r="B59" s="0" t="s">
        <v>132</v>
      </c>
      <c r="C59" s="0" t="n">
        <v>3</v>
      </c>
      <c r="D59" s="0" t="s">
        <v>137</v>
      </c>
      <c r="E59" s="0" t="n">
        <v>12.5</v>
      </c>
      <c r="F59" s="0" t="s">
        <v>138</v>
      </c>
      <c r="G59" s="0" t="n">
        <v>3</v>
      </c>
    </row>
    <row r="60" customFormat="false" ht="15" hidden="false" customHeight="true" outlineLevel="0" collapsed="false">
      <c r="A60" s="0" t="s">
        <v>3</v>
      </c>
      <c r="B60" s="0" t="s">
        <v>132</v>
      </c>
      <c r="C60" s="0" t="n">
        <v>4</v>
      </c>
      <c r="D60" s="0" t="s">
        <v>139</v>
      </c>
      <c r="E60" s="0" t="n">
        <v>15.5</v>
      </c>
      <c r="F60" s="0" t="s">
        <v>140</v>
      </c>
      <c r="G60" s="0" t="n">
        <v>4</v>
      </c>
    </row>
    <row r="61" customFormat="false" ht="15" hidden="false" customHeight="true" outlineLevel="0" collapsed="false">
      <c r="A61" s="0" t="s">
        <v>3</v>
      </c>
      <c r="B61" s="0" t="s">
        <v>132</v>
      </c>
      <c r="C61" s="0" t="n">
        <v>5</v>
      </c>
      <c r="D61" s="0" t="s">
        <v>141</v>
      </c>
      <c r="E61" s="0" t="n">
        <v>15.5</v>
      </c>
      <c r="F61" s="0" t="s">
        <v>142</v>
      </c>
      <c r="G61" s="0" t="n">
        <v>5</v>
      </c>
    </row>
    <row r="62" customFormat="false" ht="15" hidden="false" customHeight="true" outlineLevel="0" collapsed="false">
      <c r="A62" s="0" t="s">
        <v>3</v>
      </c>
      <c r="B62" s="0" t="s">
        <v>132</v>
      </c>
      <c r="C62" s="0" t="n">
        <v>6</v>
      </c>
      <c r="D62" s="0" t="s">
        <v>143</v>
      </c>
      <c r="E62" s="0" t="n">
        <v>14</v>
      </c>
      <c r="F62" s="0" t="s">
        <v>144</v>
      </c>
      <c r="G62" s="0" t="n">
        <v>6</v>
      </c>
    </row>
    <row r="63" customFormat="false" ht="15" hidden="false" customHeight="true" outlineLevel="0" collapsed="false">
      <c r="A63" s="0" t="s">
        <v>3</v>
      </c>
      <c r="B63" s="0" t="s">
        <v>132</v>
      </c>
      <c r="C63" s="0" t="n">
        <v>7</v>
      </c>
      <c r="D63" s="0" t="s">
        <v>145</v>
      </c>
      <c r="E63" s="0" t="n">
        <v>10.5</v>
      </c>
      <c r="F63" s="0" t="s">
        <v>146</v>
      </c>
      <c r="G63" s="0" t="n">
        <v>7</v>
      </c>
    </row>
    <row r="64" customFormat="false" ht="15" hidden="false" customHeight="true" outlineLevel="0" collapsed="false">
      <c r="A64" s="0" t="s">
        <v>3</v>
      </c>
      <c r="B64" s="0" t="s">
        <v>132</v>
      </c>
      <c r="C64" s="0" t="n">
        <v>8</v>
      </c>
      <c r="D64" s="0" t="s">
        <v>147</v>
      </c>
      <c r="E64" s="0" t="n">
        <v>16.5</v>
      </c>
      <c r="F64" s="0" t="s">
        <v>148</v>
      </c>
      <c r="G64" s="0" t="n">
        <v>8</v>
      </c>
    </row>
    <row r="65" customFormat="false" ht="15" hidden="false" customHeight="true" outlineLevel="0" collapsed="false">
      <c r="A65" s="0" t="s">
        <v>3</v>
      </c>
      <c r="B65" s="0" t="s">
        <v>132</v>
      </c>
      <c r="C65" s="0" t="n">
        <v>9</v>
      </c>
      <c r="D65" s="0" t="s">
        <v>149</v>
      </c>
      <c r="E65" s="0" t="n">
        <v>14</v>
      </c>
      <c r="F65" s="0" t="s">
        <v>150</v>
      </c>
      <c r="G65" s="0" t="n">
        <v>9</v>
      </c>
    </row>
    <row r="66" customFormat="false" ht="15" hidden="false" customHeight="true" outlineLevel="0" collapsed="false">
      <c r="A66" s="0" t="s">
        <v>3</v>
      </c>
      <c r="B66" s="0" t="s">
        <v>132</v>
      </c>
      <c r="C66" s="0" t="n">
        <v>10</v>
      </c>
      <c r="D66" s="0" t="s">
        <v>151</v>
      </c>
      <c r="E66" s="0" t="n">
        <v>9</v>
      </c>
      <c r="F66" s="0" t="s">
        <v>152</v>
      </c>
      <c r="G66" s="0" t="n">
        <v>10</v>
      </c>
    </row>
    <row r="67" customFormat="false" ht="15" hidden="false" customHeight="true" outlineLevel="0" collapsed="false">
      <c r="A67" s="0" t="s">
        <v>3</v>
      </c>
      <c r="B67" s="0" t="s">
        <v>132</v>
      </c>
      <c r="C67" s="0" t="n">
        <v>11</v>
      </c>
      <c r="D67" s="0" t="s">
        <v>153</v>
      </c>
      <c r="E67" s="0" t="n">
        <v>10</v>
      </c>
      <c r="F67" s="0" t="s">
        <v>154</v>
      </c>
      <c r="G67" s="0" t="n">
        <v>11</v>
      </c>
    </row>
    <row r="68" customFormat="false" ht="15" hidden="false" customHeight="true" outlineLevel="0" collapsed="false">
      <c r="A68" s="0" t="s">
        <v>3</v>
      </c>
      <c r="B68" s="0" t="s">
        <v>132</v>
      </c>
      <c r="C68" s="0" t="n">
        <v>12</v>
      </c>
      <c r="D68" s="0" t="s">
        <v>155</v>
      </c>
      <c r="E68" s="0" t="n">
        <v>10</v>
      </c>
      <c r="F68" s="0" t="s">
        <v>156</v>
      </c>
      <c r="G68" s="0" t="n">
        <v>12</v>
      </c>
    </row>
    <row r="69" customFormat="false" ht="15" hidden="false" customHeight="true" outlineLevel="0" collapsed="false">
      <c r="A69" s="0" t="s">
        <v>3</v>
      </c>
      <c r="B69" s="0" t="s">
        <v>132</v>
      </c>
      <c r="C69" s="0" t="n">
        <v>13</v>
      </c>
      <c r="D69" s="0" t="s">
        <v>157</v>
      </c>
      <c r="E69" s="0" t="n">
        <v>12.5</v>
      </c>
      <c r="F69" s="0" t="s">
        <v>158</v>
      </c>
      <c r="G69" s="0" t="n">
        <v>13</v>
      </c>
    </row>
    <row r="70" customFormat="false" ht="15" hidden="false" customHeight="true" outlineLevel="0" collapsed="false">
      <c r="A70" s="0" t="s">
        <v>3</v>
      </c>
      <c r="B70" s="0" t="s">
        <v>132</v>
      </c>
      <c r="C70" s="0" t="n">
        <v>14</v>
      </c>
      <c r="D70" s="0" t="s">
        <v>159</v>
      </c>
      <c r="E70" s="0" t="n">
        <v>10</v>
      </c>
      <c r="F70" s="0" t="s">
        <v>160</v>
      </c>
      <c r="G70" s="0" t="n">
        <v>14</v>
      </c>
    </row>
    <row r="71" customFormat="false" ht="15" hidden="false" customHeight="true" outlineLevel="0" collapsed="false">
      <c r="A71" s="0" t="s">
        <v>3</v>
      </c>
      <c r="B71" s="0" t="s">
        <v>132</v>
      </c>
      <c r="C71" s="0" t="n">
        <v>15</v>
      </c>
      <c r="D71" s="0" t="s">
        <v>161</v>
      </c>
      <c r="E71" s="0" t="n">
        <v>7.5</v>
      </c>
      <c r="F71" s="0" t="s">
        <v>162</v>
      </c>
      <c r="G71" s="0" t="n">
        <v>15</v>
      </c>
    </row>
    <row r="72" customFormat="false" ht="15" hidden="false" customHeight="true" outlineLevel="0" collapsed="false">
      <c r="A72" s="0" t="s">
        <v>3</v>
      </c>
      <c r="B72" s="0" t="s">
        <v>163</v>
      </c>
      <c r="C72" s="0" t="n">
        <v>1</v>
      </c>
      <c r="D72" s="0" t="s">
        <v>164</v>
      </c>
      <c r="E72" s="0" t="n">
        <v>12.5</v>
      </c>
      <c r="F72" s="0" t="s">
        <v>165</v>
      </c>
      <c r="G72" s="0" t="n">
        <v>1</v>
      </c>
    </row>
    <row r="73" customFormat="false" ht="15" hidden="false" customHeight="true" outlineLevel="0" collapsed="false">
      <c r="A73" s="0" t="s">
        <v>3</v>
      </c>
      <c r="B73" s="0" t="s">
        <v>163</v>
      </c>
      <c r="C73" s="0" t="n">
        <v>2</v>
      </c>
      <c r="D73" s="0" t="s">
        <v>166</v>
      </c>
      <c r="E73" s="0" t="n">
        <v>14</v>
      </c>
      <c r="F73" s="0" t="s">
        <v>167</v>
      </c>
      <c r="G73" s="0" t="n">
        <v>2</v>
      </c>
    </row>
    <row r="74" customFormat="false" ht="15" hidden="false" customHeight="true" outlineLevel="0" collapsed="false">
      <c r="A74" s="0" t="s">
        <v>3</v>
      </c>
      <c r="B74" s="0" t="s">
        <v>163</v>
      </c>
      <c r="C74" s="0" t="n">
        <v>3</v>
      </c>
      <c r="D74" s="0" t="s">
        <v>168</v>
      </c>
      <c r="E74" s="0" t="n">
        <v>11.5</v>
      </c>
      <c r="F74" s="0" t="s">
        <v>169</v>
      </c>
      <c r="G74" s="0" t="n">
        <v>3</v>
      </c>
    </row>
    <row r="75" customFormat="false" ht="15" hidden="false" customHeight="true" outlineLevel="0" collapsed="false">
      <c r="A75" s="0" t="s">
        <v>3</v>
      </c>
      <c r="B75" s="0" t="s">
        <v>163</v>
      </c>
      <c r="C75" s="0" t="n">
        <v>4</v>
      </c>
      <c r="D75" s="0" t="s">
        <v>170</v>
      </c>
      <c r="E75" s="0" t="n">
        <v>12.5</v>
      </c>
      <c r="F75" s="0" t="s">
        <v>171</v>
      </c>
      <c r="G75" s="0" t="n">
        <v>4</v>
      </c>
    </row>
    <row r="76" customFormat="false" ht="15" hidden="false" customHeight="true" outlineLevel="0" collapsed="false">
      <c r="A76" s="0" t="s">
        <v>3</v>
      </c>
      <c r="B76" s="0" t="s">
        <v>163</v>
      </c>
      <c r="C76" s="0" t="n">
        <v>5</v>
      </c>
      <c r="D76" s="0" t="s">
        <v>172</v>
      </c>
      <c r="E76" s="0" t="n">
        <v>13</v>
      </c>
      <c r="F76" s="0" t="s">
        <v>173</v>
      </c>
      <c r="G76" s="0" t="n">
        <v>5</v>
      </c>
    </row>
    <row r="77" customFormat="false" ht="15" hidden="false" customHeight="true" outlineLevel="0" collapsed="false">
      <c r="A77" s="0" t="s">
        <v>3</v>
      </c>
      <c r="B77" s="0" t="s">
        <v>163</v>
      </c>
      <c r="C77" s="0" t="n">
        <v>6</v>
      </c>
      <c r="D77" s="0" t="s">
        <v>174</v>
      </c>
      <c r="E77" s="0" t="n">
        <v>14</v>
      </c>
      <c r="F77" s="0" t="s">
        <v>175</v>
      </c>
      <c r="G77" s="0" t="n">
        <v>6</v>
      </c>
    </row>
    <row r="78" customFormat="false" ht="15" hidden="false" customHeight="true" outlineLevel="0" collapsed="false">
      <c r="A78" s="0" t="s">
        <v>3</v>
      </c>
      <c r="B78" s="0" t="s">
        <v>163</v>
      </c>
      <c r="C78" s="0" t="n">
        <v>7</v>
      </c>
      <c r="D78" s="0" t="s">
        <v>176</v>
      </c>
      <c r="E78" s="0" t="n">
        <v>15.5</v>
      </c>
      <c r="F78" s="0" t="s">
        <v>177</v>
      </c>
      <c r="G78" s="0" t="n">
        <v>7</v>
      </c>
    </row>
    <row r="79" customFormat="false" ht="15" hidden="false" customHeight="true" outlineLevel="0" collapsed="false">
      <c r="A79" s="0" t="s">
        <v>3</v>
      </c>
      <c r="B79" s="0" t="s">
        <v>163</v>
      </c>
      <c r="C79" s="0" t="n">
        <v>8</v>
      </c>
      <c r="D79" s="0" t="s">
        <v>178</v>
      </c>
      <c r="E79" s="0" t="n">
        <v>14</v>
      </c>
      <c r="F79" s="0" t="s">
        <v>179</v>
      </c>
      <c r="G79" s="0" t="n">
        <v>8</v>
      </c>
    </row>
    <row r="80" customFormat="false" ht="15" hidden="false" customHeight="true" outlineLevel="0" collapsed="false">
      <c r="A80" s="0" t="s">
        <v>3</v>
      </c>
      <c r="B80" s="0" t="s">
        <v>163</v>
      </c>
      <c r="C80" s="0" t="n">
        <v>9</v>
      </c>
      <c r="D80" s="0" t="s">
        <v>180</v>
      </c>
      <c r="E80" s="0" t="n">
        <v>11.5</v>
      </c>
      <c r="F80" s="0" t="s">
        <v>181</v>
      </c>
      <c r="G80" s="0" t="n">
        <v>9</v>
      </c>
    </row>
    <row r="81" customFormat="false" ht="15" hidden="false" customHeight="true" outlineLevel="0" collapsed="false">
      <c r="A81" s="0" t="s">
        <v>3</v>
      </c>
      <c r="B81" s="0" t="s">
        <v>163</v>
      </c>
      <c r="C81" s="0" t="n">
        <v>10</v>
      </c>
      <c r="D81" s="0" t="s">
        <v>182</v>
      </c>
      <c r="E81" s="0" t="n">
        <v>14.5</v>
      </c>
      <c r="F81" s="0" t="s">
        <v>183</v>
      </c>
      <c r="G81" s="0" t="n">
        <v>10</v>
      </c>
    </row>
    <row r="82" customFormat="false" ht="15" hidden="false" customHeight="true" outlineLevel="0" collapsed="false">
      <c r="A82" s="0" t="s">
        <v>3</v>
      </c>
      <c r="B82" s="0" t="s">
        <v>163</v>
      </c>
      <c r="C82" s="0" t="n">
        <v>11</v>
      </c>
      <c r="D82" s="0" t="s">
        <v>184</v>
      </c>
      <c r="E82" s="0" t="n">
        <v>15.5</v>
      </c>
      <c r="F82" s="0" t="s">
        <v>185</v>
      </c>
      <c r="G82" s="0" t="n">
        <v>11</v>
      </c>
    </row>
    <row r="83" customFormat="false" ht="15" hidden="false" customHeight="true" outlineLevel="0" collapsed="false">
      <c r="A83" s="0" t="s">
        <v>3</v>
      </c>
      <c r="B83" s="0" t="s">
        <v>163</v>
      </c>
      <c r="C83" s="0" t="n">
        <v>12</v>
      </c>
      <c r="D83" s="0" t="s">
        <v>186</v>
      </c>
      <c r="E83" s="0" t="n">
        <v>14</v>
      </c>
      <c r="F83" s="0" t="s">
        <v>187</v>
      </c>
      <c r="G83" s="0" t="n">
        <v>12</v>
      </c>
    </row>
    <row r="84" customFormat="false" ht="15" hidden="false" customHeight="true" outlineLevel="0" collapsed="false">
      <c r="A84" s="0" t="s">
        <v>3</v>
      </c>
      <c r="B84" s="0" t="s">
        <v>163</v>
      </c>
      <c r="C84" s="0" t="n">
        <v>13</v>
      </c>
      <c r="D84" s="0" t="s">
        <v>188</v>
      </c>
      <c r="E84" s="0" t="n">
        <v>16.5</v>
      </c>
      <c r="F84" s="0" t="s">
        <v>189</v>
      </c>
      <c r="G84" s="0" t="n">
        <v>13</v>
      </c>
    </row>
    <row r="85" customFormat="false" ht="15" hidden="false" customHeight="true" outlineLevel="0" collapsed="false">
      <c r="A85" s="0" t="s">
        <v>3</v>
      </c>
      <c r="B85" s="0" t="s">
        <v>163</v>
      </c>
      <c r="C85" s="0" t="n">
        <v>14</v>
      </c>
      <c r="D85" s="0" t="s">
        <v>190</v>
      </c>
      <c r="E85" s="0" t="n">
        <v>15.5</v>
      </c>
      <c r="F85" s="0" t="s">
        <v>191</v>
      </c>
      <c r="G85" s="0" t="n">
        <v>14</v>
      </c>
    </row>
    <row r="86" customFormat="false" ht="15" hidden="false" customHeight="true" outlineLevel="0" collapsed="false">
      <c r="A86" s="0" t="s">
        <v>3</v>
      </c>
      <c r="B86" s="0" t="s">
        <v>163</v>
      </c>
      <c r="C86" s="0" t="n">
        <v>15</v>
      </c>
      <c r="D86" s="0" t="s">
        <v>192</v>
      </c>
      <c r="E86" s="0" t="n">
        <v>14</v>
      </c>
      <c r="F86" s="0" t="s">
        <v>193</v>
      </c>
      <c r="G86" s="0" t="n">
        <v>15</v>
      </c>
    </row>
    <row r="87" customFormat="false" ht="15" hidden="false" customHeight="true" outlineLevel="0" collapsed="false">
      <c r="A87" s="0" t="s">
        <v>3</v>
      </c>
      <c r="B87" s="0" t="s">
        <v>194</v>
      </c>
      <c r="C87" s="0" t="n">
        <v>1</v>
      </c>
      <c r="D87" s="0" t="s">
        <v>195</v>
      </c>
      <c r="E87" s="0" t="n">
        <v>7.2</v>
      </c>
      <c r="F87" s="0" t="s">
        <v>196</v>
      </c>
      <c r="G87" s="0" t="n">
        <v>1</v>
      </c>
    </row>
    <row r="88" customFormat="false" ht="15" hidden="false" customHeight="true" outlineLevel="0" collapsed="false">
      <c r="A88" s="0" t="s">
        <v>3</v>
      </c>
      <c r="B88" s="0" t="s">
        <v>194</v>
      </c>
      <c r="C88" s="0" t="n">
        <v>2</v>
      </c>
      <c r="D88" s="0" t="s">
        <v>197</v>
      </c>
      <c r="E88" s="0" t="n">
        <v>3.3</v>
      </c>
      <c r="F88" s="0" t="s">
        <v>198</v>
      </c>
      <c r="G88" s="0" t="n">
        <v>2</v>
      </c>
    </row>
    <row r="89" customFormat="false" ht="15" hidden="false" customHeight="true" outlineLevel="0" collapsed="false">
      <c r="A89" s="0" t="s">
        <v>3</v>
      </c>
      <c r="B89" s="0" t="s">
        <v>194</v>
      </c>
      <c r="C89" s="0" t="n">
        <v>3</v>
      </c>
      <c r="D89" s="0" t="s">
        <v>199</v>
      </c>
      <c r="E89" s="0" t="n">
        <v>8</v>
      </c>
      <c r="F89" s="0" t="s">
        <v>200</v>
      </c>
      <c r="G89" s="0" t="n">
        <v>3</v>
      </c>
    </row>
    <row r="90" customFormat="false" ht="15" hidden="false" customHeight="true" outlineLevel="0" collapsed="false">
      <c r="A90" s="0" t="s">
        <v>3</v>
      </c>
      <c r="B90" s="0" t="s">
        <v>194</v>
      </c>
      <c r="C90" s="0" t="n">
        <v>4</v>
      </c>
      <c r="D90" s="0" t="s">
        <v>201</v>
      </c>
      <c r="E90" s="0" t="n">
        <v>4</v>
      </c>
      <c r="F90" s="0" t="s">
        <v>202</v>
      </c>
      <c r="G90" s="0" t="n">
        <v>4</v>
      </c>
    </row>
    <row r="91" customFormat="false" ht="15" hidden="false" customHeight="true" outlineLevel="0" collapsed="false">
      <c r="A91" s="0" t="s">
        <v>3</v>
      </c>
      <c r="B91" s="0" t="s">
        <v>194</v>
      </c>
      <c r="C91" s="0" t="n">
        <v>5</v>
      </c>
      <c r="D91" s="0" t="s">
        <v>203</v>
      </c>
      <c r="E91" s="0" t="n">
        <v>5.5</v>
      </c>
      <c r="F91" s="0" t="s">
        <v>204</v>
      </c>
      <c r="G91" s="0" t="n">
        <v>5</v>
      </c>
    </row>
    <row r="92" customFormat="false" ht="15" hidden="false" customHeight="true" outlineLevel="0" collapsed="false">
      <c r="A92" s="0" t="s">
        <v>3</v>
      </c>
      <c r="B92" s="0" t="s">
        <v>194</v>
      </c>
      <c r="C92" s="0" t="n">
        <v>6</v>
      </c>
      <c r="D92" s="0" t="s">
        <v>205</v>
      </c>
      <c r="E92" s="0" t="n">
        <v>3.5</v>
      </c>
      <c r="F92" s="0" t="s">
        <v>206</v>
      </c>
      <c r="G92" s="0" t="n">
        <v>6</v>
      </c>
    </row>
    <row r="93" customFormat="false" ht="15" hidden="false" customHeight="true" outlineLevel="0" collapsed="false">
      <c r="A93" s="0" t="s">
        <v>3</v>
      </c>
      <c r="B93" s="0" t="s">
        <v>194</v>
      </c>
      <c r="C93" s="0" t="n">
        <v>7</v>
      </c>
      <c r="D93" s="0" t="s">
        <v>207</v>
      </c>
      <c r="E93" s="0" t="n">
        <v>9.6</v>
      </c>
      <c r="F93" s="0" t="s">
        <v>208</v>
      </c>
      <c r="G93" s="0" t="n">
        <v>7</v>
      </c>
    </row>
    <row r="94" customFormat="false" ht="15" hidden="false" customHeight="true" outlineLevel="0" collapsed="false">
      <c r="A94" s="0" t="s">
        <v>3</v>
      </c>
      <c r="B94" s="0" t="s">
        <v>194</v>
      </c>
      <c r="C94" s="0" t="n">
        <v>8</v>
      </c>
      <c r="D94" s="0" t="s">
        <v>209</v>
      </c>
      <c r="E94" s="0" t="n">
        <v>3.7</v>
      </c>
      <c r="F94" s="0" t="s">
        <v>210</v>
      </c>
      <c r="G94" s="0" t="n">
        <v>8</v>
      </c>
    </row>
    <row r="95" customFormat="false" ht="15" hidden="false" customHeight="true" outlineLevel="0" collapsed="false">
      <c r="A95" s="0" t="s">
        <v>3</v>
      </c>
      <c r="B95" s="0" t="s">
        <v>194</v>
      </c>
      <c r="C95" s="0" t="n">
        <v>9</v>
      </c>
      <c r="D95" s="0" t="s">
        <v>211</v>
      </c>
      <c r="E95" s="0" t="n">
        <v>6.2</v>
      </c>
      <c r="F95" s="0" t="s">
        <v>212</v>
      </c>
      <c r="G95" s="0" t="n">
        <v>9</v>
      </c>
    </row>
    <row r="96" customFormat="false" ht="15" hidden="false" customHeight="true" outlineLevel="0" collapsed="false">
      <c r="A96" s="0" t="s">
        <v>3</v>
      </c>
      <c r="B96" s="0" t="s">
        <v>194</v>
      </c>
      <c r="C96" s="0" t="n">
        <v>10</v>
      </c>
      <c r="D96" s="0" t="s">
        <v>213</v>
      </c>
      <c r="E96" s="0" t="n">
        <v>4.3</v>
      </c>
      <c r="F96" s="0" t="s">
        <v>214</v>
      </c>
      <c r="G96" s="0" t="n">
        <v>10</v>
      </c>
    </row>
    <row r="97" customFormat="false" ht="15" hidden="false" customHeight="true" outlineLevel="0" collapsed="false">
      <c r="A97" s="0" t="s">
        <v>3</v>
      </c>
      <c r="B97" s="0" t="s">
        <v>194</v>
      </c>
      <c r="C97" s="0" t="n">
        <v>11</v>
      </c>
      <c r="D97" s="0" t="s">
        <v>215</v>
      </c>
      <c r="E97" s="0" t="n">
        <v>7.7</v>
      </c>
      <c r="F97" s="0" t="s">
        <v>216</v>
      </c>
      <c r="G97" s="0" t="n">
        <v>11</v>
      </c>
    </row>
    <row r="98" customFormat="false" ht="15" hidden="false" customHeight="true" outlineLevel="0" collapsed="false">
      <c r="A98" s="0" t="s">
        <v>3</v>
      </c>
      <c r="B98" s="0" t="s">
        <v>194</v>
      </c>
      <c r="C98" s="0" t="n">
        <v>12</v>
      </c>
      <c r="D98" s="0" t="s">
        <v>217</v>
      </c>
      <c r="E98" s="0" t="n">
        <v>2.8</v>
      </c>
      <c r="F98" s="0" t="s">
        <v>218</v>
      </c>
      <c r="G98" s="0" t="n">
        <v>12</v>
      </c>
    </row>
    <row r="99" customFormat="false" ht="15" hidden="false" customHeight="true" outlineLevel="0" collapsed="false">
      <c r="A99" s="0" t="s">
        <v>3</v>
      </c>
      <c r="B99" s="0" t="s">
        <v>194</v>
      </c>
      <c r="C99" s="0" t="n">
        <v>13</v>
      </c>
      <c r="D99" s="0" t="s">
        <v>219</v>
      </c>
      <c r="E99" s="0" t="n">
        <v>8.1</v>
      </c>
      <c r="F99" s="0" t="s">
        <v>220</v>
      </c>
      <c r="G99" s="0" t="n">
        <v>13</v>
      </c>
    </row>
    <row r="100" customFormat="false" ht="15" hidden="false" customHeight="true" outlineLevel="0" collapsed="false">
      <c r="A100" s="0" t="s">
        <v>3</v>
      </c>
      <c r="B100" s="0" t="s">
        <v>194</v>
      </c>
      <c r="C100" s="0" t="n">
        <v>14</v>
      </c>
      <c r="D100" s="0" t="s">
        <v>221</v>
      </c>
      <c r="E100" s="0" t="n">
        <v>5</v>
      </c>
      <c r="F100" s="0" t="s">
        <v>222</v>
      </c>
      <c r="G100" s="0" t="n">
        <v>14</v>
      </c>
    </row>
    <row r="101" customFormat="false" ht="15" hidden="false" customHeight="true" outlineLevel="0" collapsed="false">
      <c r="A101" s="0" t="s">
        <v>3</v>
      </c>
      <c r="B101" s="0" t="s">
        <v>194</v>
      </c>
      <c r="C101" s="0" t="n">
        <v>15</v>
      </c>
      <c r="D101" s="0" t="s">
        <v>223</v>
      </c>
      <c r="E101" s="0" t="n">
        <v>5.3</v>
      </c>
      <c r="F101" s="0" t="s">
        <v>224</v>
      </c>
      <c r="G101" s="0" t="n">
        <v>15</v>
      </c>
    </row>
    <row r="102" customFormat="false" ht="15" hidden="false" customHeight="true" outlineLevel="0" collapsed="false">
      <c r="A102" s="0" t="s">
        <v>3</v>
      </c>
      <c r="B102" s="0" t="s">
        <v>194</v>
      </c>
      <c r="C102" s="0" t="n">
        <v>16</v>
      </c>
      <c r="D102" s="0" t="s">
        <v>225</v>
      </c>
      <c r="E102" s="0" t="n">
        <v>5.2</v>
      </c>
      <c r="F102" s="0" t="s">
        <v>226</v>
      </c>
      <c r="G102" s="0" t="n">
        <v>16</v>
      </c>
    </row>
    <row r="103" customFormat="false" ht="15" hidden="false" customHeight="true" outlineLevel="0" collapsed="false">
      <c r="A103" s="0" t="s">
        <v>227</v>
      </c>
      <c r="B103" s="0" t="s">
        <v>6</v>
      </c>
      <c r="C103" s="0" t="n">
        <v>1</v>
      </c>
      <c r="D103" s="0" t="s">
        <v>228</v>
      </c>
      <c r="E103" s="0" t="n">
        <v>6</v>
      </c>
      <c r="F103" s="0" t="s">
        <v>229</v>
      </c>
      <c r="G103" s="0" t="n">
        <v>1</v>
      </c>
    </row>
    <row r="104" customFormat="false" ht="15" hidden="false" customHeight="true" outlineLevel="0" collapsed="false">
      <c r="A104" s="0" t="s">
        <v>227</v>
      </c>
      <c r="B104" s="0" t="s">
        <v>6</v>
      </c>
      <c r="C104" s="0" t="n">
        <v>2</v>
      </c>
      <c r="D104" s="0" t="s">
        <v>230</v>
      </c>
      <c r="E104" s="0" t="n">
        <v>7.5</v>
      </c>
      <c r="F104" s="0" t="s">
        <v>231</v>
      </c>
      <c r="G104" s="0" t="n">
        <v>2</v>
      </c>
    </row>
    <row r="105" customFormat="false" ht="15" hidden="false" customHeight="true" outlineLevel="0" collapsed="false">
      <c r="A105" s="0" t="s">
        <v>227</v>
      </c>
      <c r="B105" s="0" t="s">
        <v>6</v>
      </c>
      <c r="C105" s="0" t="n">
        <v>3</v>
      </c>
      <c r="D105" s="0" t="s">
        <v>232</v>
      </c>
      <c r="E105" s="0" t="n">
        <v>13</v>
      </c>
      <c r="F105" s="0" t="s">
        <v>233</v>
      </c>
      <c r="G105" s="0" t="n">
        <v>3</v>
      </c>
    </row>
    <row r="106" customFormat="false" ht="15" hidden="false" customHeight="true" outlineLevel="0" collapsed="false">
      <c r="A106" s="0" t="s">
        <v>227</v>
      </c>
      <c r="B106" s="0" t="s">
        <v>6</v>
      </c>
      <c r="C106" s="0" t="n">
        <v>4</v>
      </c>
      <c r="D106" s="0" t="s">
        <v>234</v>
      </c>
      <c r="E106" s="0" t="n">
        <v>9.5</v>
      </c>
      <c r="F106" s="0" t="s">
        <v>235</v>
      </c>
      <c r="G106" s="0" t="n">
        <v>4</v>
      </c>
    </row>
    <row r="107" customFormat="false" ht="15" hidden="false" customHeight="true" outlineLevel="0" collapsed="false">
      <c r="A107" s="0" t="s">
        <v>227</v>
      </c>
      <c r="B107" s="0" t="s">
        <v>6</v>
      </c>
      <c r="C107" s="0" t="n">
        <v>5</v>
      </c>
      <c r="D107" s="0" t="s">
        <v>236</v>
      </c>
      <c r="E107" s="0" t="n">
        <v>13</v>
      </c>
      <c r="F107" s="0" t="s">
        <v>237</v>
      </c>
      <c r="G107" s="0" t="n">
        <v>5</v>
      </c>
    </row>
    <row r="108" customFormat="false" ht="15" hidden="false" customHeight="true" outlineLevel="0" collapsed="false">
      <c r="A108" s="0" t="s">
        <v>227</v>
      </c>
      <c r="B108" s="0" t="s">
        <v>6</v>
      </c>
      <c r="C108" s="0" t="n">
        <v>6</v>
      </c>
      <c r="D108" s="0" t="s">
        <v>238</v>
      </c>
      <c r="E108" s="0" t="n">
        <v>11.5</v>
      </c>
      <c r="F108" s="0" t="s">
        <v>239</v>
      </c>
      <c r="G108" s="0" t="n">
        <v>6</v>
      </c>
    </row>
    <row r="109" customFormat="false" ht="15" hidden="false" customHeight="true" outlineLevel="0" collapsed="false">
      <c r="A109" s="0" t="s">
        <v>227</v>
      </c>
      <c r="B109" s="0" t="s">
        <v>6</v>
      </c>
      <c r="C109" s="0" t="n">
        <v>7</v>
      </c>
      <c r="D109" s="0" t="s">
        <v>240</v>
      </c>
      <c r="E109" s="0" t="n">
        <v>13</v>
      </c>
      <c r="F109" s="0" t="s">
        <v>241</v>
      </c>
      <c r="G109" s="0" t="n">
        <v>7</v>
      </c>
    </row>
    <row r="110" customFormat="false" ht="15" hidden="false" customHeight="true" outlineLevel="0" collapsed="false">
      <c r="A110" s="0" t="s">
        <v>227</v>
      </c>
      <c r="B110" s="0" t="s">
        <v>6</v>
      </c>
      <c r="C110" s="0" t="n">
        <v>8</v>
      </c>
      <c r="D110" s="0" t="s">
        <v>242</v>
      </c>
      <c r="E110" s="0" t="n">
        <v>9.5</v>
      </c>
      <c r="F110" s="0" t="s">
        <v>243</v>
      </c>
      <c r="G110" s="0" t="n">
        <v>8</v>
      </c>
    </row>
    <row r="111" customFormat="false" ht="15" hidden="false" customHeight="true" outlineLevel="0" collapsed="false">
      <c r="A111" s="0" t="s">
        <v>227</v>
      </c>
      <c r="B111" s="0" t="s">
        <v>6</v>
      </c>
      <c r="C111" s="0" t="n">
        <v>9</v>
      </c>
      <c r="D111" s="0" t="s">
        <v>244</v>
      </c>
      <c r="E111" s="0" t="n">
        <v>11.5</v>
      </c>
      <c r="F111" s="0" t="s">
        <v>245</v>
      </c>
      <c r="G111" s="0" t="n">
        <v>9</v>
      </c>
    </row>
    <row r="112" customFormat="false" ht="15" hidden="false" customHeight="true" outlineLevel="0" collapsed="false">
      <c r="A112" s="0" t="s">
        <v>227</v>
      </c>
      <c r="B112" s="0" t="s">
        <v>6</v>
      </c>
      <c r="C112" s="0" t="n">
        <v>10</v>
      </c>
      <c r="D112" s="0" t="s">
        <v>246</v>
      </c>
      <c r="E112" s="0" t="n">
        <v>13</v>
      </c>
      <c r="F112" s="0" t="s">
        <v>247</v>
      </c>
      <c r="G112" s="0" t="n">
        <v>10</v>
      </c>
    </row>
    <row r="113" customFormat="false" ht="15" hidden="false" customHeight="true" outlineLevel="0" collapsed="false">
      <c r="A113" s="0" t="s">
        <v>227</v>
      </c>
      <c r="B113" s="0" t="s">
        <v>6</v>
      </c>
      <c r="C113" s="0" t="n">
        <v>11</v>
      </c>
      <c r="D113" s="0" t="s">
        <v>248</v>
      </c>
      <c r="E113" s="0" t="n">
        <v>9.5</v>
      </c>
      <c r="F113" s="0" t="s">
        <v>249</v>
      </c>
      <c r="G113" s="0" t="n">
        <v>11</v>
      </c>
    </row>
    <row r="114" customFormat="false" ht="15" hidden="false" customHeight="true" outlineLevel="0" collapsed="false">
      <c r="A114" s="0" t="s">
        <v>227</v>
      </c>
      <c r="B114" s="0" t="s">
        <v>6</v>
      </c>
      <c r="C114" s="0" t="n">
        <v>12</v>
      </c>
      <c r="D114" s="0" t="s">
        <v>250</v>
      </c>
      <c r="E114" s="0" t="n">
        <v>7.5</v>
      </c>
      <c r="F114" s="0" t="s">
        <v>251</v>
      </c>
      <c r="G114" s="0" t="n">
        <v>12</v>
      </c>
    </row>
    <row r="115" customFormat="false" ht="15" hidden="false" customHeight="true" outlineLevel="0" collapsed="false">
      <c r="A115" s="0" t="s">
        <v>227</v>
      </c>
      <c r="B115" s="0" t="s">
        <v>6</v>
      </c>
      <c r="C115" s="0" t="n">
        <v>13</v>
      </c>
      <c r="D115" s="0" t="s">
        <v>252</v>
      </c>
      <c r="E115" s="0" t="n">
        <v>13</v>
      </c>
      <c r="F115" s="0" t="s">
        <v>253</v>
      </c>
      <c r="G115" s="0" t="n">
        <v>13</v>
      </c>
    </row>
    <row r="116" customFormat="false" ht="15" hidden="false" customHeight="true" outlineLevel="0" collapsed="false">
      <c r="A116" s="0" t="s">
        <v>227</v>
      </c>
      <c r="B116" s="0" t="s">
        <v>6</v>
      </c>
      <c r="C116" s="0" t="n">
        <v>14</v>
      </c>
      <c r="D116" s="0" t="s">
        <v>254</v>
      </c>
      <c r="E116" s="0" t="n">
        <v>9.5</v>
      </c>
      <c r="F116" s="0" t="s">
        <v>255</v>
      </c>
      <c r="G116" s="0" t="n">
        <v>14</v>
      </c>
    </row>
    <row r="117" customFormat="false" ht="15" hidden="false" customHeight="true" outlineLevel="0" collapsed="false">
      <c r="A117" s="0" t="s">
        <v>227</v>
      </c>
      <c r="B117" s="0" t="s">
        <v>53</v>
      </c>
      <c r="C117" s="0" t="n">
        <v>1</v>
      </c>
      <c r="D117" s="0" t="s">
        <v>256</v>
      </c>
      <c r="E117" s="0" t="n">
        <v>13</v>
      </c>
      <c r="F117" s="0" t="s">
        <v>257</v>
      </c>
      <c r="G117" s="0" t="n">
        <v>1</v>
      </c>
    </row>
    <row r="118" customFormat="false" ht="15" hidden="false" customHeight="true" outlineLevel="0" collapsed="false">
      <c r="A118" s="0" t="s">
        <v>227</v>
      </c>
      <c r="B118" s="0" t="s">
        <v>53</v>
      </c>
      <c r="C118" s="0" t="n">
        <v>2</v>
      </c>
      <c r="D118" s="0" t="s">
        <v>258</v>
      </c>
      <c r="E118" s="0" t="n">
        <v>6</v>
      </c>
      <c r="F118" s="0" t="s">
        <v>259</v>
      </c>
      <c r="G118" s="0" t="n">
        <v>2</v>
      </c>
    </row>
    <row r="119" customFormat="false" ht="15" hidden="false" customHeight="true" outlineLevel="0" collapsed="false">
      <c r="A119" s="0" t="s">
        <v>227</v>
      </c>
      <c r="B119" s="0" t="s">
        <v>53</v>
      </c>
      <c r="C119" s="0" t="n">
        <v>3</v>
      </c>
      <c r="D119" s="0" t="s">
        <v>260</v>
      </c>
      <c r="E119" s="0" t="n">
        <v>9.5</v>
      </c>
      <c r="F119" s="0" t="s">
        <v>261</v>
      </c>
      <c r="G119" s="0" t="n">
        <v>3</v>
      </c>
    </row>
    <row r="120" customFormat="false" ht="15" hidden="false" customHeight="true" outlineLevel="0" collapsed="false">
      <c r="A120" s="0" t="s">
        <v>227</v>
      </c>
      <c r="B120" s="0" t="s">
        <v>53</v>
      </c>
      <c r="C120" s="0" t="n">
        <v>4</v>
      </c>
      <c r="D120" s="0" t="s">
        <v>262</v>
      </c>
      <c r="E120" s="0" t="n">
        <v>11.5</v>
      </c>
      <c r="F120" s="0" t="s">
        <v>263</v>
      </c>
      <c r="G120" s="0" t="n">
        <v>4</v>
      </c>
    </row>
    <row r="121" customFormat="false" ht="15" hidden="false" customHeight="true" outlineLevel="0" collapsed="false">
      <c r="A121" s="0" t="s">
        <v>227</v>
      </c>
      <c r="B121" s="0" t="s">
        <v>53</v>
      </c>
      <c r="C121" s="0" t="n">
        <v>5</v>
      </c>
      <c r="D121" s="0" t="s">
        <v>264</v>
      </c>
      <c r="E121" s="0" t="n">
        <v>13</v>
      </c>
      <c r="F121" s="0" t="s">
        <v>265</v>
      </c>
      <c r="G121" s="0" t="n">
        <v>5</v>
      </c>
    </row>
    <row r="122" customFormat="false" ht="15" hidden="false" customHeight="true" outlineLevel="0" collapsed="false">
      <c r="A122" s="0" t="s">
        <v>227</v>
      </c>
      <c r="B122" s="0" t="s">
        <v>53</v>
      </c>
      <c r="C122" s="0" t="n">
        <v>6</v>
      </c>
      <c r="D122" s="0" t="s">
        <v>266</v>
      </c>
      <c r="E122" s="0" t="n">
        <v>11</v>
      </c>
      <c r="F122" s="0" t="s">
        <v>267</v>
      </c>
      <c r="G122" s="0" t="n">
        <v>6</v>
      </c>
    </row>
    <row r="123" customFormat="false" ht="15" hidden="false" customHeight="true" outlineLevel="0" collapsed="false">
      <c r="A123" s="0" t="s">
        <v>227</v>
      </c>
      <c r="B123" s="0" t="s">
        <v>53</v>
      </c>
      <c r="C123" s="0" t="n">
        <v>7</v>
      </c>
      <c r="D123" s="0" t="s">
        <v>268</v>
      </c>
      <c r="E123" s="0" t="n">
        <v>13</v>
      </c>
      <c r="F123" s="0" t="s">
        <v>269</v>
      </c>
      <c r="G123" s="0" t="n">
        <v>7</v>
      </c>
    </row>
    <row r="124" customFormat="false" ht="15" hidden="false" customHeight="true" outlineLevel="0" collapsed="false">
      <c r="A124" s="0" t="s">
        <v>227</v>
      </c>
      <c r="B124" s="0" t="s">
        <v>53</v>
      </c>
      <c r="C124" s="0" t="n">
        <v>8</v>
      </c>
      <c r="D124" s="0" t="s">
        <v>270</v>
      </c>
      <c r="E124" s="0" t="n">
        <v>11.5</v>
      </c>
      <c r="F124" s="0" t="s">
        <v>271</v>
      </c>
      <c r="G124" s="0" t="n">
        <v>8</v>
      </c>
    </row>
    <row r="125" customFormat="false" ht="15" hidden="false" customHeight="true" outlineLevel="0" collapsed="false">
      <c r="A125" s="0" t="s">
        <v>227</v>
      </c>
      <c r="B125" s="0" t="s">
        <v>53</v>
      </c>
      <c r="C125" s="0" t="n">
        <v>9</v>
      </c>
      <c r="D125" s="0" t="s">
        <v>272</v>
      </c>
      <c r="E125" s="0" t="n">
        <v>15</v>
      </c>
      <c r="F125" s="0" t="s">
        <v>273</v>
      </c>
      <c r="G125" s="0" t="n">
        <v>9</v>
      </c>
    </row>
    <row r="126" customFormat="false" ht="15" hidden="false" customHeight="true" outlineLevel="0" collapsed="false">
      <c r="A126" s="0" t="s">
        <v>227</v>
      </c>
      <c r="B126" s="0" t="s">
        <v>53</v>
      </c>
      <c r="C126" s="0" t="n">
        <v>10</v>
      </c>
      <c r="D126" s="0" t="s">
        <v>274</v>
      </c>
      <c r="E126" s="0" t="n">
        <v>11.5</v>
      </c>
      <c r="F126" s="0" t="s">
        <v>275</v>
      </c>
      <c r="G126" s="0" t="n">
        <v>10</v>
      </c>
    </row>
    <row r="127" customFormat="false" ht="15" hidden="false" customHeight="true" outlineLevel="0" collapsed="false">
      <c r="A127" s="0" t="s">
        <v>227</v>
      </c>
      <c r="B127" s="0" t="s">
        <v>53</v>
      </c>
      <c r="C127" s="0" t="n">
        <v>11</v>
      </c>
      <c r="D127" s="0" t="s">
        <v>276</v>
      </c>
      <c r="E127" s="0" t="n">
        <v>9.5</v>
      </c>
      <c r="F127" s="0" t="s">
        <v>277</v>
      </c>
      <c r="G127" s="0" t="n">
        <v>11</v>
      </c>
    </row>
    <row r="128" customFormat="false" ht="15" hidden="false" customHeight="true" outlineLevel="0" collapsed="false">
      <c r="A128" s="0" t="s">
        <v>227</v>
      </c>
      <c r="B128" s="0" t="s">
        <v>53</v>
      </c>
      <c r="C128" s="0" t="n">
        <v>12</v>
      </c>
      <c r="D128" s="0" t="s">
        <v>278</v>
      </c>
      <c r="E128" s="0" t="n">
        <v>7.5</v>
      </c>
      <c r="F128" s="0" t="s">
        <v>279</v>
      </c>
      <c r="G128" s="0" t="n">
        <v>12</v>
      </c>
    </row>
    <row r="129" customFormat="false" ht="15" hidden="false" customHeight="true" outlineLevel="0" collapsed="false">
      <c r="A129" s="0" t="s">
        <v>227</v>
      </c>
      <c r="B129" s="0" t="s">
        <v>53</v>
      </c>
      <c r="C129" s="0" t="n">
        <v>13</v>
      </c>
      <c r="D129" s="0" t="s">
        <v>280</v>
      </c>
      <c r="E129" s="0" t="n">
        <v>15</v>
      </c>
      <c r="F129" s="0" t="s">
        <v>281</v>
      </c>
      <c r="G129" s="0" t="n">
        <v>13</v>
      </c>
    </row>
    <row r="130" customFormat="false" ht="15" hidden="false" customHeight="true" outlineLevel="0" collapsed="false">
      <c r="A130" s="0" t="s">
        <v>227</v>
      </c>
      <c r="B130" s="0" t="s">
        <v>53</v>
      </c>
      <c r="C130" s="0" t="n">
        <v>14</v>
      </c>
      <c r="D130" s="0" t="s">
        <v>282</v>
      </c>
      <c r="E130" s="0" t="n">
        <v>7.5</v>
      </c>
      <c r="F130" s="0" t="s">
        <v>283</v>
      </c>
      <c r="G130" s="0" t="n">
        <v>14</v>
      </c>
    </row>
    <row r="131" customFormat="false" ht="15" hidden="false" customHeight="true" outlineLevel="0" collapsed="false">
      <c r="A131" s="0" t="s">
        <v>227</v>
      </c>
      <c r="B131" s="0" t="s">
        <v>78</v>
      </c>
      <c r="C131" s="0" t="n">
        <v>1</v>
      </c>
      <c r="D131" s="0" t="s">
        <v>284</v>
      </c>
      <c r="E131" s="0" t="n">
        <v>9.5</v>
      </c>
      <c r="F131" s="0" t="s">
        <v>285</v>
      </c>
      <c r="G131" s="0" t="n">
        <v>1</v>
      </c>
    </row>
    <row r="132" customFormat="false" ht="15" hidden="false" customHeight="true" outlineLevel="0" collapsed="false">
      <c r="A132" s="0" t="s">
        <v>227</v>
      </c>
      <c r="B132" s="0" t="s">
        <v>78</v>
      </c>
      <c r="C132" s="0" t="n">
        <v>2</v>
      </c>
      <c r="D132" s="0" t="s">
        <v>286</v>
      </c>
      <c r="E132" s="0" t="n">
        <v>7.5</v>
      </c>
      <c r="F132" s="0" t="s">
        <v>287</v>
      </c>
      <c r="G132" s="0" t="n">
        <v>2</v>
      </c>
    </row>
    <row r="133" customFormat="false" ht="15" hidden="false" customHeight="true" outlineLevel="0" collapsed="false">
      <c r="A133" s="0" t="s">
        <v>227</v>
      </c>
      <c r="B133" s="0" t="s">
        <v>78</v>
      </c>
      <c r="C133" s="0" t="n">
        <v>3</v>
      </c>
      <c r="D133" s="0" t="s">
        <v>288</v>
      </c>
      <c r="E133" s="0" t="n">
        <v>11</v>
      </c>
      <c r="F133" s="0" t="s">
        <v>289</v>
      </c>
      <c r="G133" s="0" t="n">
        <v>3</v>
      </c>
    </row>
    <row r="134" customFormat="false" ht="15" hidden="false" customHeight="true" outlineLevel="0" collapsed="false">
      <c r="A134" s="0" t="s">
        <v>227</v>
      </c>
      <c r="B134" s="0" t="s">
        <v>78</v>
      </c>
      <c r="C134" s="0" t="n">
        <v>4</v>
      </c>
      <c r="D134" s="0" t="s">
        <v>290</v>
      </c>
      <c r="E134" s="0" t="n">
        <v>13</v>
      </c>
      <c r="F134" s="0" t="s">
        <v>291</v>
      </c>
      <c r="G134" s="0" t="n">
        <v>4</v>
      </c>
    </row>
    <row r="135" customFormat="false" ht="15" hidden="false" customHeight="true" outlineLevel="0" collapsed="false">
      <c r="A135" s="0" t="s">
        <v>227</v>
      </c>
      <c r="B135" s="0" t="s">
        <v>78</v>
      </c>
      <c r="C135" s="0" t="n">
        <v>5</v>
      </c>
      <c r="D135" s="0" t="s">
        <v>292</v>
      </c>
      <c r="E135" s="0" t="n">
        <v>16.5</v>
      </c>
      <c r="F135" s="0" t="s">
        <v>293</v>
      </c>
      <c r="G135" s="0" t="n">
        <v>5</v>
      </c>
    </row>
    <row r="136" customFormat="false" ht="15" hidden="false" customHeight="true" outlineLevel="0" collapsed="false">
      <c r="A136" s="0" t="s">
        <v>227</v>
      </c>
      <c r="B136" s="0" t="s">
        <v>78</v>
      </c>
      <c r="C136" s="0" t="n">
        <v>6</v>
      </c>
      <c r="D136" s="0" t="s">
        <v>294</v>
      </c>
      <c r="E136" s="0" t="n">
        <v>13.5</v>
      </c>
      <c r="F136" s="0" t="s">
        <v>295</v>
      </c>
      <c r="G136" s="0" t="n">
        <v>6</v>
      </c>
    </row>
    <row r="137" customFormat="false" ht="15" hidden="false" customHeight="true" outlineLevel="0" collapsed="false">
      <c r="A137" s="0" t="s">
        <v>227</v>
      </c>
      <c r="B137" s="0" t="s">
        <v>78</v>
      </c>
      <c r="C137" s="0" t="n">
        <v>7</v>
      </c>
      <c r="D137" s="0" t="s">
        <v>296</v>
      </c>
      <c r="E137" s="0" t="n">
        <v>11.5</v>
      </c>
      <c r="F137" s="0" t="s">
        <v>297</v>
      </c>
      <c r="G137" s="0" t="n">
        <v>7</v>
      </c>
    </row>
    <row r="138" customFormat="false" ht="15" hidden="false" customHeight="true" outlineLevel="0" collapsed="false">
      <c r="A138" s="0" t="s">
        <v>227</v>
      </c>
      <c r="B138" s="0" t="s">
        <v>78</v>
      </c>
      <c r="C138" s="0" t="n">
        <v>8</v>
      </c>
      <c r="D138" s="0" t="s">
        <v>298</v>
      </c>
      <c r="E138" s="0" t="n">
        <v>13</v>
      </c>
      <c r="F138" s="0" t="s">
        <v>299</v>
      </c>
      <c r="G138" s="0" t="n">
        <v>8</v>
      </c>
    </row>
    <row r="139" customFormat="false" ht="15" hidden="false" customHeight="true" outlineLevel="0" collapsed="false">
      <c r="A139" s="0" t="s">
        <v>227</v>
      </c>
      <c r="B139" s="0" t="s">
        <v>78</v>
      </c>
      <c r="C139" s="0" t="n">
        <v>9</v>
      </c>
      <c r="D139" s="0" t="s">
        <v>300</v>
      </c>
      <c r="E139" s="0" t="n">
        <v>13</v>
      </c>
      <c r="F139" s="0" t="s">
        <v>301</v>
      </c>
      <c r="G139" s="0" t="n">
        <v>9</v>
      </c>
    </row>
    <row r="140" customFormat="false" ht="15" hidden="false" customHeight="true" outlineLevel="0" collapsed="false">
      <c r="A140" s="0" t="s">
        <v>227</v>
      </c>
      <c r="B140" s="0" t="s">
        <v>78</v>
      </c>
      <c r="C140" s="0" t="n">
        <v>10</v>
      </c>
      <c r="D140" s="0" t="s">
        <v>302</v>
      </c>
      <c r="E140" s="0" t="n">
        <v>9.5</v>
      </c>
      <c r="F140" s="0" t="s">
        <v>303</v>
      </c>
      <c r="G140" s="0" t="n">
        <v>10</v>
      </c>
    </row>
    <row r="141" customFormat="false" ht="15" hidden="false" customHeight="true" outlineLevel="0" collapsed="false">
      <c r="A141" s="0" t="s">
        <v>227</v>
      </c>
      <c r="B141" s="0" t="s">
        <v>78</v>
      </c>
      <c r="C141" s="0" t="n">
        <v>11</v>
      </c>
      <c r="D141" s="0" t="s">
        <v>304</v>
      </c>
      <c r="E141" s="0" t="n">
        <v>11</v>
      </c>
      <c r="F141" s="0" t="s">
        <v>305</v>
      </c>
      <c r="G141" s="0" t="n">
        <v>11</v>
      </c>
    </row>
    <row r="142" customFormat="false" ht="15" hidden="false" customHeight="true" outlineLevel="0" collapsed="false">
      <c r="A142" s="0" t="s">
        <v>227</v>
      </c>
      <c r="B142" s="0" t="s">
        <v>78</v>
      </c>
      <c r="C142" s="0" t="n">
        <v>12</v>
      </c>
      <c r="D142" s="0" t="s">
        <v>306</v>
      </c>
      <c r="E142" s="0" t="n">
        <v>7.5</v>
      </c>
      <c r="F142" s="0" t="s">
        <v>307</v>
      </c>
      <c r="G142" s="0" t="n">
        <v>12</v>
      </c>
    </row>
    <row r="143" customFormat="false" ht="15" hidden="false" customHeight="true" outlineLevel="0" collapsed="false">
      <c r="A143" s="0" t="s">
        <v>227</v>
      </c>
      <c r="B143" s="0" t="s">
        <v>78</v>
      </c>
      <c r="C143" s="0" t="n">
        <v>13</v>
      </c>
      <c r="D143" s="0" t="s">
        <v>308</v>
      </c>
      <c r="E143" s="0" t="n">
        <v>7.5</v>
      </c>
      <c r="F143" s="0" t="s">
        <v>309</v>
      </c>
      <c r="G143" s="0" t="n">
        <v>13</v>
      </c>
    </row>
    <row r="144" customFormat="false" ht="15" hidden="false" customHeight="true" outlineLevel="0" collapsed="false">
      <c r="A144" s="0" t="s">
        <v>227</v>
      </c>
      <c r="B144" s="0" t="s">
        <v>78</v>
      </c>
      <c r="C144" s="0" t="n">
        <v>14</v>
      </c>
      <c r="D144" s="0" t="s">
        <v>310</v>
      </c>
      <c r="E144" s="0" t="n">
        <v>9</v>
      </c>
      <c r="F144" s="0" t="s">
        <v>311</v>
      </c>
      <c r="G144" s="0" t="n">
        <v>14</v>
      </c>
    </row>
    <row r="145" customFormat="false" ht="15" hidden="false" customHeight="true" outlineLevel="0" collapsed="false">
      <c r="A145" s="0" t="s">
        <v>227</v>
      </c>
      <c r="B145" s="0" t="s">
        <v>78</v>
      </c>
      <c r="C145" s="0" t="n">
        <v>15</v>
      </c>
      <c r="D145" s="0" t="s">
        <v>312</v>
      </c>
      <c r="E145" s="0" t="n">
        <v>7.5</v>
      </c>
      <c r="F145" s="0" t="s">
        <v>313</v>
      </c>
      <c r="G145" s="0" t="n">
        <v>15</v>
      </c>
    </row>
    <row r="146" customFormat="false" ht="15" hidden="false" customHeight="true" outlineLevel="0" collapsed="false">
      <c r="A146" s="0" t="s">
        <v>227</v>
      </c>
      <c r="B146" s="0" t="s">
        <v>99</v>
      </c>
      <c r="C146" s="0" t="n">
        <v>1</v>
      </c>
      <c r="D146" s="0" t="s">
        <v>314</v>
      </c>
      <c r="E146" s="0" t="n">
        <v>4</v>
      </c>
      <c r="F146" s="0" t="s">
        <v>315</v>
      </c>
      <c r="G146" s="0" t="n">
        <v>1</v>
      </c>
    </row>
    <row r="147" customFormat="false" ht="15" hidden="false" customHeight="true" outlineLevel="0" collapsed="false">
      <c r="A147" s="0" t="s">
        <v>227</v>
      </c>
      <c r="B147" s="0" t="s">
        <v>99</v>
      </c>
      <c r="C147" s="0" t="n">
        <v>2</v>
      </c>
      <c r="D147" s="0" t="s">
        <v>316</v>
      </c>
      <c r="E147" s="0" t="n">
        <v>9.5</v>
      </c>
      <c r="F147" s="0" t="s">
        <v>317</v>
      </c>
      <c r="G147" s="0" t="n">
        <v>2</v>
      </c>
    </row>
    <row r="148" customFormat="false" ht="15" hidden="false" customHeight="true" outlineLevel="0" collapsed="false">
      <c r="A148" s="0" t="s">
        <v>227</v>
      </c>
      <c r="B148" s="0" t="s">
        <v>99</v>
      </c>
      <c r="C148" s="0" t="n">
        <v>3</v>
      </c>
      <c r="D148" s="0" t="s">
        <v>318</v>
      </c>
      <c r="E148" s="0" t="n">
        <v>6</v>
      </c>
      <c r="F148" s="0" t="s">
        <v>319</v>
      </c>
      <c r="G148" s="0" t="n">
        <v>3</v>
      </c>
    </row>
    <row r="149" customFormat="false" ht="15" hidden="false" customHeight="true" outlineLevel="0" collapsed="false">
      <c r="A149" s="0" t="s">
        <v>227</v>
      </c>
      <c r="B149" s="0" t="s">
        <v>99</v>
      </c>
      <c r="C149" s="0" t="n">
        <v>4</v>
      </c>
      <c r="D149" s="0" t="s">
        <v>320</v>
      </c>
      <c r="E149" s="0" t="n">
        <v>7</v>
      </c>
      <c r="F149" s="0" t="s">
        <v>321</v>
      </c>
      <c r="G149" s="0" t="n">
        <v>4</v>
      </c>
    </row>
    <row r="150" customFormat="false" ht="15" hidden="false" customHeight="true" outlineLevel="0" collapsed="false">
      <c r="A150" s="0" t="s">
        <v>227</v>
      </c>
      <c r="B150" s="0" t="s">
        <v>99</v>
      </c>
      <c r="C150" s="0" t="n">
        <v>5</v>
      </c>
      <c r="D150" s="0" t="s">
        <v>322</v>
      </c>
      <c r="E150" s="0" t="n">
        <v>12</v>
      </c>
      <c r="F150" s="0" t="s">
        <v>323</v>
      </c>
      <c r="G150" s="0" t="n">
        <v>5</v>
      </c>
    </row>
    <row r="151" customFormat="false" ht="15" hidden="false" customHeight="true" outlineLevel="0" collapsed="false">
      <c r="A151" s="0" t="s">
        <v>227</v>
      </c>
      <c r="B151" s="0" t="s">
        <v>99</v>
      </c>
      <c r="C151" s="0" t="n">
        <v>6</v>
      </c>
      <c r="D151" s="0" t="s">
        <v>324</v>
      </c>
      <c r="E151" s="0" t="n">
        <v>10</v>
      </c>
      <c r="F151" s="0" t="s">
        <v>325</v>
      </c>
      <c r="G151" s="0" t="n">
        <v>6</v>
      </c>
    </row>
    <row r="152" customFormat="false" ht="15" hidden="false" customHeight="true" outlineLevel="0" collapsed="false">
      <c r="A152" s="0" t="s">
        <v>227</v>
      </c>
      <c r="B152" s="0" t="s">
        <v>99</v>
      </c>
      <c r="C152" s="0" t="n">
        <v>7</v>
      </c>
      <c r="D152" s="0" t="s">
        <v>286</v>
      </c>
      <c r="E152" s="0" t="n">
        <v>8</v>
      </c>
      <c r="F152" s="0" t="s">
        <v>326</v>
      </c>
      <c r="G152" s="0" t="n">
        <v>7</v>
      </c>
    </row>
    <row r="153" customFormat="false" ht="15" hidden="false" customHeight="true" outlineLevel="0" collapsed="false">
      <c r="A153" s="0" t="s">
        <v>227</v>
      </c>
      <c r="B153" s="0" t="s">
        <v>99</v>
      </c>
      <c r="C153" s="0" t="n">
        <v>8</v>
      </c>
      <c r="D153" s="0" t="s">
        <v>327</v>
      </c>
      <c r="E153" s="0" t="n">
        <v>11</v>
      </c>
      <c r="F153" s="0" t="s">
        <v>328</v>
      </c>
      <c r="G153" s="0" t="n">
        <v>8</v>
      </c>
    </row>
    <row r="154" customFormat="false" ht="15" hidden="false" customHeight="true" outlineLevel="0" collapsed="false">
      <c r="A154" s="0" t="s">
        <v>227</v>
      </c>
      <c r="B154" s="0" t="s">
        <v>99</v>
      </c>
      <c r="C154" s="0" t="n">
        <v>9</v>
      </c>
      <c r="D154" s="0" t="s">
        <v>329</v>
      </c>
      <c r="E154" s="0" t="n">
        <v>11.5</v>
      </c>
      <c r="F154" s="0" t="s">
        <v>330</v>
      </c>
      <c r="G154" s="0" t="n">
        <v>9</v>
      </c>
    </row>
    <row r="155" customFormat="false" ht="15" hidden="false" customHeight="true" outlineLevel="0" collapsed="false">
      <c r="A155" s="0" t="s">
        <v>227</v>
      </c>
      <c r="B155" s="0" t="s">
        <v>99</v>
      </c>
      <c r="C155" s="0" t="n">
        <v>10</v>
      </c>
      <c r="D155" s="0" t="s">
        <v>331</v>
      </c>
      <c r="E155" s="0" t="n">
        <v>8</v>
      </c>
      <c r="F155" s="0" t="s">
        <v>332</v>
      </c>
      <c r="G155" s="0" t="n">
        <v>10</v>
      </c>
    </row>
    <row r="156" customFormat="false" ht="15" hidden="false" customHeight="true" outlineLevel="0" collapsed="false">
      <c r="A156" s="0" t="s">
        <v>227</v>
      </c>
      <c r="B156" s="0" t="s">
        <v>132</v>
      </c>
      <c r="C156" s="0" t="n">
        <v>1</v>
      </c>
      <c r="D156" s="0" t="s">
        <v>333</v>
      </c>
      <c r="E156" s="0" t="n">
        <v>7.5</v>
      </c>
      <c r="F156" s="0" t="s">
        <v>334</v>
      </c>
      <c r="G156" s="0" t="n">
        <v>1</v>
      </c>
    </row>
    <row r="157" customFormat="false" ht="15" hidden="false" customHeight="true" outlineLevel="0" collapsed="false">
      <c r="A157" s="0" t="s">
        <v>227</v>
      </c>
      <c r="B157" s="0" t="s">
        <v>132</v>
      </c>
      <c r="C157" s="0" t="n">
        <v>2</v>
      </c>
      <c r="D157" s="0" t="s">
        <v>335</v>
      </c>
      <c r="E157" s="0" t="n">
        <v>6</v>
      </c>
      <c r="F157" s="0" t="s">
        <v>336</v>
      </c>
      <c r="G157" s="0" t="n">
        <v>2</v>
      </c>
    </row>
    <row r="158" customFormat="false" ht="15" hidden="false" customHeight="true" outlineLevel="0" collapsed="false">
      <c r="A158" s="0" t="s">
        <v>227</v>
      </c>
      <c r="B158" s="0" t="s">
        <v>132</v>
      </c>
      <c r="C158" s="0" t="n">
        <v>3</v>
      </c>
      <c r="D158" s="0" t="s">
        <v>337</v>
      </c>
      <c r="E158" s="0" t="n">
        <v>6</v>
      </c>
      <c r="F158" s="0" t="s">
        <v>338</v>
      </c>
      <c r="G158" s="0" t="n">
        <v>3</v>
      </c>
    </row>
    <row r="159" customFormat="false" ht="15" hidden="false" customHeight="true" outlineLevel="0" collapsed="false">
      <c r="A159" s="0" t="s">
        <v>227</v>
      </c>
      <c r="B159" s="0" t="s">
        <v>132</v>
      </c>
      <c r="C159" s="0" t="n">
        <v>4</v>
      </c>
      <c r="D159" s="0" t="s">
        <v>339</v>
      </c>
      <c r="E159" s="0" t="n">
        <v>6</v>
      </c>
      <c r="F159" s="0" t="s">
        <v>340</v>
      </c>
      <c r="G159" s="0" t="n">
        <v>4</v>
      </c>
    </row>
    <row r="160" customFormat="false" ht="15" hidden="false" customHeight="true" outlineLevel="0" collapsed="false">
      <c r="A160" s="0" t="s">
        <v>227</v>
      </c>
      <c r="B160" s="0" t="s">
        <v>132</v>
      </c>
      <c r="C160" s="0" t="n">
        <v>5</v>
      </c>
      <c r="D160" s="0" t="s">
        <v>341</v>
      </c>
      <c r="E160" s="0" t="n">
        <v>10</v>
      </c>
      <c r="F160" s="0" t="s">
        <v>342</v>
      </c>
      <c r="G160" s="0" t="n">
        <v>5</v>
      </c>
    </row>
    <row r="161" customFormat="false" ht="15" hidden="false" customHeight="true" outlineLevel="0" collapsed="false">
      <c r="A161" s="0" t="s">
        <v>227</v>
      </c>
      <c r="B161" s="0" t="s">
        <v>132</v>
      </c>
      <c r="C161" s="0" t="n">
        <v>6</v>
      </c>
      <c r="D161" s="0" t="s">
        <v>318</v>
      </c>
      <c r="E161" s="0" t="n">
        <v>6</v>
      </c>
      <c r="F161" s="0" t="s">
        <v>343</v>
      </c>
      <c r="G161" s="0" t="n">
        <v>6</v>
      </c>
    </row>
    <row r="162" customFormat="false" ht="15" hidden="false" customHeight="true" outlineLevel="0" collapsed="false">
      <c r="A162" s="0" t="s">
        <v>227</v>
      </c>
      <c r="B162" s="0" t="s">
        <v>132</v>
      </c>
      <c r="C162" s="0" t="n">
        <v>7</v>
      </c>
      <c r="D162" s="0" t="s">
        <v>344</v>
      </c>
      <c r="E162" s="0" t="n">
        <v>8</v>
      </c>
      <c r="F162" s="0" t="s">
        <v>345</v>
      </c>
      <c r="G162" s="0" t="n">
        <v>7</v>
      </c>
    </row>
    <row r="163" customFormat="false" ht="15" hidden="false" customHeight="true" outlineLevel="0" collapsed="false">
      <c r="A163" s="0" t="s">
        <v>227</v>
      </c>
      <c r="B163" s="0" t="s">
        <v>132</v>
      </c>
      <c r="C163" s="0" t="n">
        <v>8</v>
      </c>
      <c r="D163" s="0" t="s">
        <v>346</v>
      </c>
      <c r="E163" s="0" t="n">
        <v>6</v>
      </c>
      <c r="F163" s="0" t="s">
        <v>347</v>
      </c>
      <c r="G163" s="0" t="n">
        <v>8</v>
      </c>
    </row>
    <row r="164" customFormat="false" ht="15" hidden="false" customHeight="true" outlineLevel="0" collapsed="false">
      <c r="A164" s="0" t="s">
        <v>227</v>
      </c>
      <c r="B164" s="0" t="s">
        <v>132</v>
      </c>
      <c r="C164" s="0" t="n">
        <v>9</v>
      </c>
      <c r="D164" s="0" t="s">
        <v>348</v>
      </c>
      <c r="E164" s="0" t="n">
        <v>10</v>
      </c>
      <c r="F164" s="0" t="s">
        <v>349</v>
      </c>
      <c r="G164" s="0" t="n">
        <v>9</v>
      </c>
    </row>
    <row r="165" customFormat="false" ht="15" hidden="false" customHeight="true" outlineLevel="0" collapsed="false">
      <c r="A165" s="0" t="s">
        <v>227</v>
      </c>
      <c r="B165" s="0" t="s">
        <v>132</v>
      </c>
      <c r="C165" s="0" t="n">
        <v>10</v>
      </c>
      <c r="D165" s="0" t="s">
        <v>350</v>
      </c>
      <c r="E165" s="0" t="n">
        <v>8</v>
      </c>
      <c r="F165" s="0" t="s">
        <v>351</v>
      </c>
      <c r="G165" s="0" t="n">
        <v>10</v>
      </c>
    </row>
    <row r="166" customFormat="false" ht="15" hidden="false" customHeight="true" outlineLevel="0" collapsed="false">
      <c r="A166" s="0" t="s">
        <v>227</v>
      </c>
      <c r="B166" s="0" t="s">
        <v>132</v>
      </c>
      <c r="C166" s="0" t="n">
        <v>11</v>
      </c>
      <c r="D166" s="0" t="s">
        <v>352</v>
      </c>
      <c r="E166" s="0" t="n">
        <v>8</v>
      </c>
      <c r="F166" s="0" t="s">
        <v>353</v>
      </c>
      <c r="G166" s="0" t="n">
        <v>11</v>
      </c>
    </row>
    <row r="167" customFormat="false" ht="15" hidden="false" customHeight="true" outlineLevel="0" collapsed="false">
      <c r="A167" s="0" t="s">
        <v>227</v>
      </c>
      <c r="B167" s="0" t="s">
        <v>132</v>
      </c>
      <c r="C167" s="0" t="n">
        <v>12</v>
      </c>
      <c r="D167" s="0" t="s">
        <v>354</v>
      </c>
      <c r="E167" s="0" t="n">
        <v>8</v>
      </c>
      <c r="F167" s="0" t="s">
        <v>355</v>
      </c>
      <c r="G167" s="0" t="n">
        <v>12</v>
      </c>
    </row>
    <row r="168" customFormat="false" ht="15" hidden="false" customHeight="true" outlineLevel="0" collapsed="false">
      <c r="A168" s="0" t="s">
        <v>227</v>
      </c>
      <c r="B168" s="0" t="s">
        <v>132</v>
      </c>
      <c r="C168" s="0" t="n">
        <v>13</v>
      </c>
      <c r="D168" s="0" t="s">
        <v>356</v>
      </c>
      <c r="E168" s="0" t="n">
        <v>12</v>
      </c>
      <c r="F168" s="0" t="s">
        <v>357</v>
      </c>
      <c r="G168" s="0" t="n">
        <v>13</v>
      </c>
    </row>
    <row r="169" customFormat="false" ht="15" hidden="false" customHeight="true" outlineLevel="0" collapsed="false">
      <c r="A169" s="0" t="s">
        <v>227</v>
      </c>
      <c r="B169" s="0" t="s">
        <v>132</v>
      </c>
      <c r="C169" s="0" t="n">
        <v>14</v>
      </c>
      <c r="D169" s="0" t="s">
        <v>358</v>
      </c>
      <c r="E169" s="0" t="n">
        <v>12</v>
      </c>
      <c r="F169" s="0" t="s">
        <v>359</v>
      </c>
      <c r="G169" s="0" t="n">
        <v>14</v>
      </c>
    </row>
    <row r="170" customFormat="false" ht="15" hidden="false" customHeight="true" outlineLevel="0" collapsed="false">
      <c r="A170" s="0" t="s">
        <v>227</v>
      </c>
      <c r="B170" s="0" t="s">
        <v>132</v>
      </c>
      <c r="C170" s="0" t="n">
        <v>15</v>
      </c>
      <c r="D170" s="0" t="s">
        <v>360</v>
      </c>
      <c r="E170" s="0" t="n">
        <v>8</v>
      </c>
      <c r="F170" s="0" t="s">
        <v>361</v>
      </c>
      <c r="G170" s="0" t="n">
        <v>15</v>
      </c>
    </row>
    <row r="171" customFormat="false" ht="15" hidden="false" customHeight="true" outlineLevel="0" collapsed="false">
      <c r="A171" s="0" t="s">
        <v>227</v>
      </c>
      <c r="B171" s="0" t="s">
        <v>163</v>
      </c>
      <c r="C171" s="0" t="n">
        <v>1</v>
      </c>
      <c r="D171" s="0" t="s">
        <v>362</v>
      </c>
      <c r="E171" s="0" t="n">
        <v>6</v>
      </c>
      <c r="F171" s="0" t="s">
        <v>363</v>
      </c>
      <c r="G171" s="0" t="n">
        <v>1</v>
      </c>
    </row>
    <row r="172" customFormat="false" ht="15" hidden="false" customHeight="true" outlineLevel="0" collapsed="false">
      <c r="A172" s="0" t="s">
        <v>227</v>
      </c>
      <c r="B172" s="0" t="s">
        <v>163</v>
      </c>
      <c r="C172" s="0" t="n">
        <v>2</v>
      </c>
      <c r="D172" s="0" t="s">
        <v>364</v>
      </c>
      <c r="E172" s="0" t="n">
        <v>8</v>
      </c>
      <c r="F172" s="0" t="s">
        <v>365</v>
      </c>
      <c r="G172" s="0" t="n">
        <v>2</v>
      </c>
    </row>
    <row r="173" customFormat="false" ht="15" hidden="false" customHeight="true" outlineLevel="0" collapsed="false">
      <c r="A173" s="0" t="s">
        <v>227</v>
      </c>
      <c r="B173" s="0" t="s">
        <v>163</v>
      </c>
      <c r="C173" s="0" t="n">
        <v>3</v>
      </c>
      <c r="D173" s="0" t="s">
        <v>366</v>
      </c>
      <c r="E173" s="0" t="n">
        <v>4</v>
      </c>
      <c r="F173" s="0" t="s">
        <v>367</v>
      </c>
      <c r="G173" s="0" t="n">
        <v>3</v>
      </c>
    </row>
    <row r="174" customFormat="false" ht="15" hidden="false" customHeight="true" outlineLevel="0" collapsed="false">
      <c r="A174" s="0" t="s">
        <v>227</v>
      </c>
      <c r="B174" s="0" t="s">
        <v>163</v>
      </c>
      <c r="C174" s="0" t="n">
        <v>4</v>
      </c>
      <c r="D174" s="0" t="s">
        <v>368</v>
      </c>
      <c r="E174" s="0" t="n">
        <v>10</v>
      </c>
      <c r="F174" s="0" t="s">
        <v>369</v>
      </c>
      <c r="G174" s="0" t="n">
        <v>4</v>
      </c>
    </row>
    <row r="175" customFormat="false" ht="15" hidden="false" customHeight="true" outlineLevel="0" collapsed="false">
      <c r="A175" s="0" t="s">
        <v>227</v>
      </c>
      <c r="B175" s="0" t="s">
        <v>163</v>
      </c>
      <c r="C175" s="0" t="n">
        <v>5</v>
      </c>
      <c r="D175" s="0" t="s">
        <v>318</v>
      </c>
      <c r="E175" s="0" t="n">
        <v>8</v>
      </c>
      <c r="F175" s="0" t="s">
        <v>370</v>
      </c>
      <c r="G175" s="0" t="n">
        <v>5</v>
      </c>
    </row>
    <row r="176" customFormat="false" ht="15" hidden="false" customHeight="true" outlineLevel="0" collapsed="false">
      <c r="A176" s="0" t="s">
        <v>227</v>
      </c>
      <c r="B176" s="0" t="s">
        <v>163</v>
      </c>
      <c r="C176" s="0" t="n">
        <v>6</v>
      </c>
      <c r="D176" s="0" t="s">
        <v>371</v>
      </c>
      <c r="E176" s="0" t="n">
        <v>11</v>
      </c>
      <c r="F176" s="0" t="s">
        <v>372</v>
      </c>
      <c r="G176" s="0" t="n">
        <v>6</v>
      </c>
    </row>
    <row r="177" customFormat="false" ht="15" hidden="false" customHeight="true" outlineLevel="0" collapsed="false">
      <c r="A177" s="0" t="s">
        <v>227</v>
      </c>
      <c r="B177" s="0" t="s">
        <v>163</v>
      </c>
      <c r="C177" s="0" t="n">
        <v>7</v>
      </c>
      <c r="D177" s="0" t="s">
        <v>373</v>
      </c>
      <c r="E177" s="0" t="n">
        <v>12</v>
      </c>
      <c r="F177" s="0" t="s">
        <v>374</v>
      </c>
      <c r="G177" s="0" t="n">
        <v>7</v>
      </c>
    </row>
    <row r="178" customFormat="false" ht="15" hidden="false" customHeight="true" outlineLevel="0" collapsed="false">
      <c r="A178" s="0" t="s">
        <v>227</v>
      </c>
      <c r="B178" s="0" t="s">
        <v>163</v>
      </c>
      <c r="C178" s="0" t="n">
        <v>8</v>
      </c>
      <c r="D178" s="0" t="s">
        <v>375</v>
      </c>
      <c r="E178" s="0" t="n">
        <v>10</v>
      </c>
      <c r="F178" s="0" t="s">
        <v>376</v>
      </c>
      <c r="G178" s="0" t="n">
        <v>8</v>
      </c>
    </row>
    <row r="179" customFormat="false" ht="15" hidden="false" customHeight="true" outlineLevel="0" collapsed="false">
      <c r="A179" s="0" t="s">
        <v>227</v>
      </c>
      <c r="B179" s="0" t="s">
        <v>163</v>
      </c>
      <c r="C179" s="0" t="n">
        <v>9</v>
      </c>
      <c r="D179" s="0" t="s">
        <v>377</v>
      </c>
      <c r="E179" s="0" t="n">
        <v>10</v>
      </c>
      <c r="F179" s="0" t="s">
        <v>378</v>
      </c>
      <c r="G179" s="0" t="n">
        <v>9</v>
      </c>
    </row>
    <row r="180" customFormat="false" ht="15" hidden="false" customHeight="true" outlineLevel="0" collapsed="false">
      <c r="A180" s="0" t="s">
        <v>227</v>
      </c>
      <c r="B180" s="0" t="s">
        <v>163</v>
      </c>
      <c r="C180" s="0" t="n">
        <v>10</v>
      </c>
      <c r="D180" s="0" t="s">
        <v>379</v>
      </c>
      <c r="E180" s="0" t="n">
        <v>8</v>
      </c>
      <c r="F180" s="0" t="s">
        <v>380</v>
      </c>
      <c r="G180" s="0" t="n">
        <v>10</v>
      </c>
    </row>
    <row r="181" customFormat="false" ht="15" hidden="false" customHeight="true" outlineLevel="0" collapsed="false">
      <c r="A181" s="0" t="s">
        <v>227</v>
      </c>
      <c r="B181" s="0" t="s">
        <v>163</v>
      </c>
      <c r="C181" s="0" t="n">
        <v>11</v>
      </c>
      <c r="D181" s="0" t="s">
        <v>381</v>
      </c>
      <c r="E181" s="0" t="n">
        <v>12</v>
      </c>
      <c r="F181" s="0" t="s">
        <v>382</v>
      </c>
      <c r="G181" s="0" t="n">
        <v>11</v>
      </c>
    </row>
    <row r="182" customFormat="false" ht="15" hidden="false" customHeight="true" outlineLevel="0" collapsed="false">
      <c r="A182" s="0" t="s">
        <v>227</v>
      </c>
      <c r="B182" s="0" t="s">
        <v>163</v>
      </c>
      <c r="C182" s="0" t="n">
        <v>12</v>
      </c>
      <c r="D182" s="0" t="s">
        <v>383</v>
      </c>
      <c r="E182" s="0" t="n">
        <v>11</v>
      </c>
      <c r="F182" s="0" t="s">
        <v>384</v>
      </c>
      <c r="G182" s="0" t="n">
        <v>12</v>
      </c>
    </row>
    <row r="183" customFormat="false" ht="15" hidden="false" customHeight="true" outlineLevel="0" collapsed="false">
      <c r="A183" s="0" t="s">
        <v>227</v>
      </c>
      <c r="B183" s="0" t="s">
        <v>163</v>
      </c>
      <c r="C183" s="0" t="n">
        <v>13</v>
      </c>
      <c r="D183" s="0" t="s">
        <v>385</v>
      </c>
      <c r="E183" s="0" t="n">
        <v>4</v>
      </c>
      <c r="F183" s="0" t="s">
        <v>386</v>
      </c>
      <c r="G183" s="0" t="n">
        <v>13</v>
      </c>
    </row>
    <row r="184" customFormat="false" ht="15" hidden="false" customHeight="true" outlineLevel="0" collapsed="false">
      <c r="A184" s="0" t="s">
        <v>227</v>
      </c>
      <c r="B184" s="0" t="s">
        <v>163</v>
      </c>
      <c r="C184" s="0" t="n">
        <v>14</v>
      </c>
      <c r="D184" s="0" t="s">
        <v>387</v>
      </c>
      <c r="E184" s="0" t="n">
        <v>10</v>
      </c>
      <c r="F184" s="0" t="s">
        <v>388</v>
      </c>
      <c r="G184" s="0" t="n">
        <v>14</v>
      </c>
    </row>
    <row r="185" customFormat="false" ht="15" hidden="false" customHeight="true" outlineLevel="0" collapsed="false">
      <c r="A185" s="0" t="s">
        <v>227</v>
      </c>
      <c r="B185" s="0" t="s">
        <v>194</v>
      </c>
      <c r="C185" s="0" t="n">
        <v>1</v>
      </c>
      <c r="D185" s="0" t="s">
        <v>389</v>
      </c>
      <c r="E185" s="0" t="n">
        <v>7.5</v>
      </c>
      <c r="F185" s="0" t="s">
        <v>390</v>
      </c>
      <c r="G185" s="0" t="n">
        <v>1</v>
      </c>
    </row>
    <row r="186" customFormat="false" ht="15" hidden="false" customHeight="true" outlineLevel="0" collapsed="false">
      <c r="A186" s="0" t="s">
        <v>227</v>
      </c>
      <c r="B186" s="0" t="s">
        <v>194</v>
      </c>
      <c r="C186" s="0" t="n">
        <v>2</v>
      </c>
      <c r="D186" s="0" t="s">
        <v>391</v>
      </c>
      <c r="E186" s="0" t="n">
        <v>9</v>
      </c>
      <c r="F186" s="0" t="s">
        <v>392</v>
      </c>
      <c r="G186" s="0" t="n">
        <v>2</v>
      </c>
    </row>
    <row r="187" customFormat="false" ht="15" hidden="false" customHeight="true" outlineLevel="0" collapsed="false">
      <c r="A187" s="0" t="s">
        <v>227</v>
      </c>
      <c r="B187" s="0" t="s">
        <v>194</v>
      </c>
      <c r="C187" s="0" t="n">
        <v>3</v>
      </c>
      <c r="D187" s="0" t="s">
        <v>393</v>
      </c>
      <c r="E187" s="0" t="n">
        <v>15</v>
      </c>
      <c r="F187" s="0" t="s">
        <v>394</v>
      </c>
      <c r="G187" s="0" t="n">
        <v>3</v>
      </c>
    </row>
    <row r="188" customFormat="false" ht="15" hidden="false" customHeight="true" outlineLevel="0" collapsed="false">
      <c r="A188" s="0" t="s">
        <v>227</v>
      </c>
      <c r="B188" s="0" t="s">
        <v>194</v>
      </c>
      <c r="C188" s="0" t="n">
        <v>4</v>
      </c>
      <c r="D188" s="0" t="s">
        <v>395</v>
      </c>
      <c r="E188" s="0" t="n">
        <v>11</v>
      </c>
      <c r="F188" s="0" t="s">
        <v>396</v>
      </c>
      <c r="G188" s="0" t="n">
        <v>4</v>
      </c>
    </row>
    <row r="189" customFormat="false" ht="15" hidden="false" customHeight="true" outlineLevel="0" collapsed="false">
      <c r="A189" s="0" t="s">
        <v>227</v>
      </c>
      <c r="B189" s="0" t="s">
        <v>194</v>
      </c>
      <c r="C189" s="0" t="n">
        <v>5</v>
      </c>
      <c r="D189" s="0" t="s">
        <v>397</v>
      </c>
      <c r="E189" s="0" t="n">
        <v>11.5</v>
      </c>
      <c r="F189" s="0" t="s">
        <v>398</v>
      </c>
      <c r="G189" s="0" t="n">
        <v>5</v>
      </c>
    </row>
    <row r="190" customFormat="false" ht="15" hidden="false" customHeight="true" outlineLevel="0" collapsed="false">
      <c r="A190" s="0" t="s">
        <v>227</v>
      </c>
      <c r="B190" s="0" t="s">
        <v>194</v>
      </c>
      <c r="C190" s="0" t="n">
        <v>6</v>
      </c>
      <c r="D190" s="0" t="s">
        <v>399</v>
      </c>
      <c r="E190" s="0" t="n">
        <v>11</v>
      </c>
      <c r="F190" s="0" t="s">
        <v>400</v>
      </c>
      <c r="G190" s="0" t="n">
        <v>6</v>
      </c>
    </row>
    <row r="191" customFormat="false" ht="15" hidden="false" customHeight="true" outlineLevel="0" collapsed="false">
      <c r="A191" s="0" t="s">
        <v>227</v>
      </c>
      <c r="B191" s="0" t="s">
        <v>194</v>
      </c>
      <c r="C191" s="0" t="n">
        <v>7</v>
      </c>
      <c r="D191" s="0" t="s">
        <v>401</v>
      </c>
      <c r="E191" s="0" t="n">
        <v>7.5</v>
      </c>
      <c r="F191" s="0" t="s">
        <v>402</v>
      </c>
      <c r="G191" s="0" t="n">
        <v>7</v>
      </c>
    </row>
    <row r="192" customFormat="false" ht="15" hidden="false" customHeight="true" outlineLevel="0" collapsed="false">
      <c r="A192" s="0" t="s">
        <v>227</v>
      </c>
      <c r="B192" s="0" t="s">
        <v>194</v>
      </c>
      <c r="C192" s="0" t="n">
        <v>8</v>
      </c>
      <c r="D192" s="0" t="s">
        <v>403</v>
      </c>
      <c r="E192" s="0" t="n">
        <v>9</v>
      </c>
      <c r="F192" s="0" t="s">
        <v>404</v>
      </c>
      <c r="G192" s="0" t="n">
        <v>8</v>
      </c>
    </row>
    <row r="193" customFormat="false" ht="15" hidden="false" customHeight="true" outlineLevel="0" collapsed="false">
      <c r="A193" s="0" t="s">
        <v>227</v>
      </c>
      <c r="B193" s="0" t="s">
        <v>194</v>
      </c>
      <c r="C193" s="0" t="n">
        <v>9</v>
      </c>
      <c r="D193" s="0" t="s">
        <v>405</v>
      </c>
      <c r="E193" s="0" t="n">
        <v>10.1875</v>
      </c>
      <c r="F193" s="0" t="s">
        <v>406</v>
      </c>
      <c r="G193" s="0" t="n">
        <v>9</v>
      </c>
    </row>
    <row r="194" customFormat="false" ht="15" hidden="false" customHeight="true" outlineLevel="0" collapsed="false">
      <c r="A194" s="0" t="s">
        <v>227</v>
      </c>
      <c r="B194" s="0" t="s">
        <v>194</v>
      </c>
      <c r="C194" s="0" t="n">
        <v>10</v>
      </c>
      <c r="D194" s="0" t="s">
        <v>407</v>
      </c>
      <c r="E194" s="0" t="n">
        <v>10.1875</v>
      </c>
      <c r="F194" s="0" t="s">
        <v>408</v>
      </c>
      <c r="G194" s="0" t="n">
        <v>10</v>
      </c>
    </row>
    <row r="195" customFormat="false" ht="15" hidden="false" customHeight="true" outlineLevel="0" collapsed="false">
      <c r="A195" s="0" t="s">
        <v>227</v>
      </c>
      <c r="B195" s="0" t="s">
        <v>194</v>
      </c>
      <c r="C195" s="0" t="n">
        <v>11</v>
      </c>
      <c r="D195" s="0" t="s">
        <v>409</v>
      </c>
      <c r="E195" s="0" t="n">
        <v>10.1875</v>
      </c>
      <c r="F195" s="0" t="s">
        <v>410</v>
      </c>
      <c r="G195" s="0" t="n">
        <v>11</v>
      </c>
    </row>
    <row r="196" customFormat="false" ht="15" hidden="false" customHeight="true" outlineLevel="0" collapsed="false">
      <c r="A196" s="0" t="s">
        <v>227</v>
      </c>
      <c r="B196" s="0" t="s">
        <v>194</v>
      </c>
      <c r="C196" s="0" t="n">
        <v>12</v>
      </c>
      <c r="D196" s="0" t="s">
        <v>411</v>
      </c>
      <c r="E196" s="0" t="n">
        <v>10.1875</v>
      </c>
      <c r="F196" s="0" t="s">
        <v>412</v>
      </c>
      <c r="G196" s="0" t="n">
        <v>12</v>
      </c>
    </row>
    <row r="197" customFormat="false" ht="15" hidden="false" customHeight="true" outlineLevel="0" collapsed="false">
      <c r="A197" s="0" t="s">
        <v>227</v>
      </c>
      <c r="B197" s="0" t="s">
        <v>194</v>
      </c>
      <c r="C197" s="0" t="n">
        <v>13</v>
      </c>
      <c r="D197" s="0" t="s">
        <v>413</v>
      </c>
      <c r="E197" s="0" t="n">
        <v>10.1875</v>
      </c>
      <c r="F197" s="0" t="s">
        <v>414</v>
      </c>
      <c r="G197" s="0" t="n">
        <v>13</v>
      </c>
    </row>
    <row r="198" customFormat="false" ht="15" hidden="false" customHeight="true" outlineLevel="0" collapsed="false">
      <c r="A198" s="0" t="s">
        <v>227</v>
      </c>
      <c r="B198" s="0" t="s">
        <v>194</v>
      </c>
      <c r="C198" s="0" t="n">
        <v>14</v>
      </c>
      <c r="D198" s="0" t="s">
        <v>415</v>
      </c>
      <c r="E198" s="0" t="n">
        <v>10.1875</v>
      </c>
      <c r="F198" s="0" t="s">
        <v>416</v>
      </c>
      <c r="G198" s="0" t="n">
        <v>14</v>
      </c>
    </row>
    <row r="199" customFormat="false" ht="15" hidden="false" customHeight="true" outlineLevel="0" collapsed="false">
      <c r="A199" s="0" t="s">
        <v>227</v>
      </c>
      <c r="B199" s="0" t="s">
        <v>194</v>
      </c>
      <c r="C199" s="0" t="n">
        <v>15</v>
      </c>
      <c r="D199" s="0" t="s">
        <v>417</v>
      </c>
      <c r="E199" s="0" t="n">
        <v>10.1875</v>
      </c>
      <c r="F199" s="0" t="s">
        <v>418</v>
      </c>
      <c r="G199" s="0" t="n">
        <v>15</v>
      </c>
    </row>
    <row r="200" customFormat="false" ht="15" hidden="false" customHeight="true" outlineLevel="0" collapsed="false">
      <c r="A200" s="0" t="s">
        <v>227</v>
      </c>
      <c r="B200" s="0" t="s">
        <v>194</v>
      </c>
      <c r="C200" s="0" t="n">
        <v>16</v>
      </c>
      <c r="D200" s="0" t="s">
        <v>419</v>
      </c>
      <c r="E200" s="0" t="n">
        <v>10.1875</v>
      </c>
      <c r="F200" s="0" t="s">
        <v>420</v>
      </c>
      <c r="G200" s="0" t="n">
        <v>16</v>
      </c>
    </row>
    <row r="201" customFormat="false" ht="15" hidden="false" customHeight="true" outlineLevel="0" collapsed="false">
      <c r="A201" s="0" t="s">
        <v>421</v>
      </c>
      <c r="B201" s="0" t="s">
        <v>99</v>
      </c>
      <c r="C201" s="0" t="n">
        <v>1</v>
      </c>
      <c r="D201" s="0" t="s">
        <v>422</v>
      </c>
      <c r="E201" s="0" t="n">
        <v>2</v>
      </c>
      <c r="F201" s="0" t="s">
        <v>423</v>
      </c>
      <c r="G201" s="0" t="n">
        <v>1</v>
      </c>
    </row>
    <row r="202" customFormat="false" ht="15" hidden="false" customHeight="true" outlineLevel="0" collapsed="false">
      <c r="A202" s="0" t="s">
        <v>421</v>
      </c>
      <c r="B202" s="0" t="s">
        <v>99</v>
      </c>
      <c r="C202" s="0" t="n">
        <v>2</v>
      </c>
      <c r="D202" s="0" t="s">
        <v>424</v>
      </c>
      <c r="E202" s="0" t="n">
        <v>12</v>
      </c>
      <c r="F202" s="0" t="s">
        <v>425</v>
      </c>
      <c r="G202" s="0" t="n">
        <v>2</v>
      </c>
    </row>
    <row r="203" customFormat="false" ht="15" hidden="false" customHeight="true" outlineLevel="0" collapsed="false">
      <c r="A203" s="0" t="s">
        <v>421</v>
      </c>
      <c r="B203" s="0" t="s">
        <v>99</v>
      </c>
      <c r="C203" s="0" t="n">
        <v>3</v>
      </c>
      <c r="D203" s="0" t="s">
        <v>426</v>
      </c>
      <c r="E203" s="0" t="n">
        <v>9.5</v>
      </c>
      <c r="F203" s="0" t="s">
        <v>427</v>
      </c>
      <c r="G203" s="0" t="n">
        <v>3</v>
      </c>
    </row>
    <row r="204" customFormat="false" ht="15" hidden="false" customHeight="true" outlineLevel="0" collapsed="false">
      <c r="A204" s="0" t="s">
        <v>421</v>
      </c>
      <c r="B204" s="0" t="s">
        <v>99</v>
      </c>
      <c r="C204" s="0" t="n">
        <v>4</v>
      </c>
      <c r="D204" s="0" t="s">
        <v>428</v>
      </c>
      <c r="E204" s="0" t="n">
        <v>8</v>
      </c>
      <c r="F204" s="0" t="s">
        <v>429</v>
      </c>
      <c r="G204" s="0" t="n">
        <v>4</v>
      </c>
    </row>
    <row r="205" customFormat="false" ht="15" hidden="false" customHeight="true" outlineLevel="0" collapsed="false">
      <c r="A205" s="0" t="s">
        <v>421</v>
      </c>
      <c r="B205" s="0" t="s">
        <v>99</v>
      </c>
      <c r="C205" s="0" t="n">
        <v>5</v>
      </c>
      <c r="D205" s="0" t="s">
        <v>430</v>
      </c>
      <c r="E205" s="0" t="n">
        <v>8</v>
      </c>
      <c r="F205" s="0" t="s">
        <v>431</v>
      </c>
      <c r="G205" s="0" t="n">
        <v>5</v>
      </c>
    </row>
    <row r="206" customFormat="false" ht="15" hidden="false" customHeight="true" outlineLevel="0" collapsed="false">
      <c r="A206" s="0" t="s">
        <v>421</v>
      </c>
      <c r="B206" s="0" t="s">
        <v>99</v>
      </c>
      <c r="C206" s="0" t="n">
        <v>6</v>
      </c>
      <c r="D206" s="0" t="s">
        <v>432</v>
      </c>
      <c r="E206" s="0" t="n">
        <v>8</v>
      </c>
      <c r="F206" s="0" t="s">
        <v>433</v>
      </c>
      <c r="G206" s="0" t="n">
        <v>6</v>
      </c>
    </row>
    <row r="207" customFormat="false" ht="15" hidden="false" customHeight="true" outlineLevel="0" collapsed="false">
      <c r="A207" s="0" t="s">
        <v>421</v>
      </c>
      <c r="B207" s="0" t="s">
        <v>99</v>
      </c>
      <c r="C207" s="0" t="n">
        <v>7</v>
      </c>
      <c r="D207" s="0" t="s">
        <v>434</v>
      </c>
      <c r="E207" s="0" t="n">
        <v>7.5</v>
      </c>
      <c r="F207" s="0" t="s">
        <v>435</v>
      </c>
      <c r="G207" s="0" t="n">
        <v>7</v>
      </c>
    </row>
    <row r="208" customFormat="false" ht="15" hidden="false" customHeight="true" outlineLevel="0" collapsed="false">
      <c r="A208" s="0" t="s">
        <v>421</v>
      </c>
      <c r="B208" s="0" t="s">
        <v>99</v>
      </c>
      <c r="C208" s="0" t="n">
        <v>8</v>
      </c>
      <c r="D208" s="0" t="s">
        <v>436</v>
      </c>
      <c r="E208" s="0" t="n">
        <v>12</v>
      </c>
      <c r="F208" s="0" t="s">
        <v>437</v>
      </c>
      <c r="G208" s="0" t="n">
        <v>8</v>
      </c>
    </row>
    <row r="209" customFormat="false" ht="15" hidden="false" customHeight="true" outlineLevel="0" collapsed="false">
      <c r="A209" s="0" t="s">
        <v>421</v>
      </c>
      <c r="B209" s="0" t="s">
        <v>99</v>
      </c>
      <c r="C209" s="0" t="n">
        <v>9</v>
      </c>
      <c r="D209" s="0" t="s">
        <v>438</v>
      </c>
      <c r="E209" s="0" t="n">
        <v>11.5</v>
      </c>
      <c r="F209" s="0" t="s">
        <v>439</v>
      </c>
      <c r="G209" s="0" t="n">
        <v>9</v>
      </c>
    </row>
    <row r="210" customFormat="false" ht="15" hidden="false" customHeight="true" outlineLevel="0" collapsed="false">
      <c r="A210" s="0" t="s">
        <v>421</v>
      </c>
      <c r="B210" s="0" t="s">
        <v>99</v>
      </c>
      <c r="C210" s="0" t="n">
        <v>10</v>
      </c>
      <c r="D210" s="0" t="s">
        <v>440</v>
      </c>
      <c r="E210" s="0" t="n">
        <v>10</v>
      </c>
      <c r="F210" s="0" t="s">
        <v>441</v>
      </c>
      <c r="G210" s="0" t="n">
        <v>10</v>
      </c>
    </row>
    <row r="211" customFormat="false" ht="15" hidden="false" customHeight="true" outlineLevel="0" collapsed="false">
      <c r="A211" s="0" t="s">
        <v>421</v>
      </c>
      <c r="B211" s="0" t="s">
        <v>99</v>
      </c>
      <c r="C211" s="0" t="n">
        <v>11</v>
      </c>
      <c r="D211" s="0" t="s">
        <v>442</v>
      </c>
      <c r="E211" s="0" t="n">
        <v>8</v>
      </c>
      <c r="F211" s="0" t="s">
        <v>443</v>
      </c>
      <c r="G211" s="0" t="n">
        <v>11</v>
      </c>
    </row>
    <row r="212" customFormat="false" ht="15" hidden="false" customHeight="true" outlineLevel="0" collapsed="false">
      <c r="A212" s="0" t="s">
        <v>421</v>
      </c>
      <c r="B212" s="0" t="s">
        <v>99</v>
      </c>
      <c r="C212" s="0" t="n">
        <v>12</v>
      </c>
      <c r="D212" s="0" t="s">
        <v>444</v>
      </c>
      <c r="E212" s="0" t="n">
        <v>8</v>
      </c>
      <c r="F212" s="0" t="s">
        <v>445</v>
      </c>
      <c r="G212" s="0" t="n">
        <v>12</v>
      </c>
    </row>
    <row r="213" customFormat="false" ht="15" hidden="false" customHeight="true" outlineLevel="0" collapsed="false">
      <c r="A213" s="0" t="s">
        <v>421</v>
      </c>
      <c r="B213" s="0" t="s">
        <v>132</v>
      </c>
      <c r="C213" s="0" t="n">
        <v>1</v>
      </c>
      <c r="D213" s="0" t="s">
        <v>446</v>
      </c>
      <c r="E213" s="0" t="n">
        <v>4</v>
      </c>
      <c r="F213" s="0" t="s">
        <v>447</v>
      </c>
      <c r="G213" s="0" t="n">
        <v>1</v>
      </c>
    </row>
    <row r="214" customFormat="false" ht="15" hidden="false" customHeight="true" outlineLevel="0" collapsed="false">
      <c r="A214" s="0" t="s">
        <v>421</v>
      </c>
      <c r="B214" s="0" t="s">
        <v>132</v>
      </c>
      <c r="C214" s="0" t="n">
        <v>2</v>
      </c>
      <c r="D214" s="0" t="s">
        <v>448</v>
      </c>
      <c r="E214" s="0" t="n">
        <v>8</v>
      </c>
      <c r="F214" s="0" t="s">
        <v>449</v>
      </c>
      <c r="G214" s="0" t="n">
        <v>2</v>
      </c>
    </row>
    <row r="215" customFormat="false" ht="15" hidden="false" customHeight="true" outlineLevel="0" collapsed="false">
      <c r="A215" s="0" t="s">
        <v>421</v>
      </c>
      <c r="B215" s="0" t="s">
        <v>132</v>
      </c>
      <c r="C215" s="0" t="n">
        <v>3</v>
      </c>
      <c r="D215" s="0" t="s">
        <v>450</v>
      </c>
      <c r="E215" s="0" t="n">
        <v>10</v>
      </c>
      <c r="F215" s="0" t="s">
        <v>451</v>
      </c>
      <c r="G215" s="0" t="n">
        <v>3</v>
      </c>
    </row>
    <row r="216" customFormat="false" ht="15" hidden="false" customHeight="true" outlineLevel="0" collapsed="false">
      <c r="A216" s="0" t="s">
        <v>421</v>
      </c>
      <c r="B216" s="0" t="s">
        <v>132</v>
      </c>
      <c r="C216" s="0" t="n">
        <v>4</v>
      </c>
      <c r="D216" s="0" t="s">
        <v>452</v>
      </c>
      <c r="E216" s="0" t="n">
        <v>9.5</v>
      </c>
      <c r="F216" s="0" t="s">
        <v>453</v>
      </c>
      <c r="G216" s="0" t="n">
        <v>4</v>
      </c>
    </row>
    <row r="217" customFormat="false" ht="15" hidden="false" customHeight="true" outlineLevel="0" collapsed="false">
      <c r="A217" s="0" t="s">
        <v>421</v>
      </c>
      <c r="B217" s="0" t="s">
        <v>132</v>
      </c>
      <c r="C217" s="0" t="n">
        <v>5</v>
      </c>
      <c r="D217" s="0" t="s">
        <v>454</v>
      </c>
      <c r="E217" s="0" t="n">
        <v>8</v>
      </c>
      <c r="F217" s="0" t="s">
        <v>455</v>
      </c>
      <c r="G217" s="0" t="n">
        <v>5</v>
      </c>
    </row>
    <row r="218" customFormat="false" ht="15" hidden="false" customHeight="true" outlineLevel="0" collapsed="false">
      <c r="A218" s="0" t="s">
        <v>421</v>
      </c>
      <c r="B218" s="0" t="s">
        <v>132</v>
      </c>
      <c r="C218" s="0" t="n">
        <v>6</v>
      </c>
      <c r="D218" s="0" t="s">
        <v>456</v>
      </c>
      <c r="E218" s="0" t="n">
        <v>6</v>
      </c>
      <c r="F218" s="0" t="s">
        <v>457</v>
      </c>
      <c r="G218" s="0" t="n">
        <v>6</v>
      </c>
    </row>
    <row r="219" customFormat="false" ht="15" hidden="false" customHeight="true" outlineLevel="0" collapsed="false">
      <c r="A219" s="0" t="s">
        <v>421</v>
      </c>
      <c r="B219" s="0" t="s">
        <v>132</v>
      </c>
      <c r="C219" s="0" t="n">
        <v>7</v>
      </c>
      <c r="D219" s="0" t="s">
        <v>458</v>
      </c>
      <c r="E219" s="0" t="n">
        <v>8</v>
      </c>
      <c r="F219" s="0" t="s">
        <v>459</v>
      </c>
      <c r="G219" s="0" t="n">
        <v>7</v>
      </c>
    </row>
    <row r="220" customFormat="false" ht="15" hidden="false" customHeight="true" outlineLevel="0" collapsed="false">
      <c r="A220" s="0" t="s">
        <v>421</v>
      </c>
      <c r="B220" s="0" t="s">
        <v>132</v>
      </c>
      <c r="C220" s="0" t="n">
        <v>8</v>
      </c>
      <c r="D220" s="0" t="s">
        <v>460</v>
      </c>
      <c r="E220" s="0" t="n">
        <v>8</v>
      </c>
      <c r="F220" s="0" t="s">
        <v>461</v>
      </c>
      <c r="G220" s="0" t="n">
        <v>8</v>
      </c>
    </row>
    <row r="221" customFormat="false" ht="15" hidden="false" customHeight="true" outlineLevel="0" collapsed="false">
      <c r="A221" s="0" t="s">
        <v>421</v>
      </c>
      <c r="B221" s="0" t="s">
        <v>132</v>
      </c>
      <c r="C221" s="0" t="n">
        <v>9</v>
      </c>
      <c r="D221" s="0" t="s">
        <v>462</v>
      </c>
      <c r="E221" s="0" t="n">
        <v>9.5</v>
      </c>
      <c r="F221" s="0" t="s">
        <v>463</v>
      </c>
      <c r="G221" s="0" t="n">
        <v>9</v>
      </c>
    </row>
    <row r="222" customFormat="false" ht="15" hidden="false" customHeight="true" outlineLevel="0" collapsed="false">
      <c r="A222" s="0" t="s">
        <v>421</v>
      </c>
      <c r="B222" s="0" t="s">
        <v>132</v>
      </c>
      <c r="C222" s="0" t="n">
        <v>10</v>
      </c>
      <c r="D222" s="0" t="s">
        <v>464</v>
      </c>
      <c r="E222" s="0" t="n">
        <v>11</v>
      </c>
      <c r="F222" s="0" t="s">
        <v>465</v>
      </c>
      <c r="G222" s="0" t="n">
        <v>10</v>
      </c>
    </row>
    <row r="223" customFormat="false" ht="15" hidden="false" customHeight="true" outlineLevel="0" collapsed="false">
      <c r="A223" s="0" t="s">
        <v>421</v>
      </c>
      <c r="B223" s="0" t="s">
        <v>132</v>
      </c>
      <c r="C223" s="0" t="n">
        <v>11</v>
      </c>
      <c r="D223" s="0" t="s">
        <v>466</v>
      </c>
      <c r="E223" s="0" t="n">
        <v>10</v>
      </c>
      <c r="F223" s="0" t="s">
        <v>467</v>
      </c>
      <c r="G223" s="0" t="n">
        <v>11</v>
      </c>
    </row>
    <row r="224" customFormat="false" ht="15" hidden="false" customHeight="true" outlineLevel="0" collapsed="false">
      <c r="A224" s="0" t="s">
        <v>421</v>
      </c>
      <c r="B224" s="0" t="s">
        <v>132</v>
      </c>
      <c r="C224" s="0" t="n">
        <v>12</v>
      </c>
      <c r="D224" s="0" t="s">
        <v>468</v>
      </c>
      <c r="E224" s="0" t="n">
        <v>8</v>
      </c>
      <c r="F224" s="0" t="s">
        <v>469</v>
      </c>
      <c r="G224" s="0" t="n">
        <v>12</v>
      </c>
    </row>
    <row r="225" customFormat="false" ht="15" hidden="false" customHeight="true" outlineLevel="0" collapsed="false">
      <c r="A225" s="0" t="s">
        <v>421</v>
      </c>
      <c r="B225" s="0" t="s">
        <v>163</v>
      </c>
      <c r="C225" s="0" t="n">
        <v>1</v>
      </c>
      <c r="D225" s="0" t="s">
        <v>470</v>
      </c>
      <c r="E225" s="0" t="n">
        <v>4</v>
      </c>
      <c r="F225" s="0" t="s">
        <v>471</v>
      </c>
      <c r="G225" s="0" t="n">
        <v>1</v>
      </c>
    </row>
    <row r="226" customFormat="false" ht="15" hidden="false" customHeight="true" outlineLevel="0" collapsed="false">
      <c r="A226" s="0" t="s">
        <v>421</v>
      </c>
      <c r="B226" s="0" t="s">
        <v>163</v>
      </c>
      <c r="C226" s="0" t="n">
        <v>2</v>
      </c>
      <c r="D226" s="0" t="s">
        <v>472</v>
      </c>
      <c r="E226" s="0" t="n">
        <v>11.5</v>
      </c>
      <c r="F226" s="0" t="s">
        <v>473</v>
      </c>
      <c r="G226" s="0" t="n">
        <v>2</v>
      </c>
    </row>
    <row r="227" customFormat="false" ht="15" hidden="false" customHeight="true" outlineLevel="0" collapsed="false">
      <c r="A227" s="0" t="s">
        <v>421</v>
      </c>
      <c r="B227" s="0" t="s">
        <v>163</v>
      </c>
      <c r="C227" s="0" t="n">
        <v>3</v>
      </c>
      <c r="D227" s="0" t="s">
        <v>474</v>
      </c>
      <c r="E227" s="0" t="n">
        <v>6</v>
      </c>
      <c r="F227" s="0" t="s">
        <v>475</v>
      </c>
      <c r="G227" s="0" t="n">
        <v>3</v>
      </c>
    </row>
    <row r="228" customFormat="false" ht="15" hidden="false" customHeight="true" outlineLevel="0" collapsed="false">
      <c r="A228" s="0" t="s">
        <v>421</v>
      </c>
      <c r="B228" s="0" t="s">
        <v>163</v>
      </c>
      <c r="C228" s="0" t="n">
        <v>4</v>
      </c>
      <c r="D228" s="0" t="s">
        <v>476</v>
      </c>
      <c r="E228" s="0" t="n">
        <v>10</v>
      </c>
      <c r="F228" s="0" t="s">
        <v>477</v>
      </c>
      <c r="G228" s="0" t="n">
        <v>4</v>
      </c>
    </row>
    <row r="229" customFormat="false" ht="15" hidden="false" customHeight="true" outlineLevel="0" collapsed="false">
      <c r="A229" s="0" t="s">
        <v>421</v>
      </c>
      <c r="B229" s="0" t="s">
        <v>163</v>
      </c>
      <c r="C229" s="0" t="n">
        <v>5</v>
      </c>
      <c r="D229" s="0" t="s">
        <v>478</v>
      </c>
      <c r="E229" s="0" t="n">
        <v>12</v>
      </c>
      <c r="F229" s="0" t="s">
        <v>479</v>
      </c>
      <c r="G229" s="0" t="n">
        <v>5</v>
      </c>
    </row>
    <row r="230" customFormat="false" ht="15" hidden="false" customHeight="true" outlineLevel="0" collapsed="false">
      <c r="A230" s="0" t="s">
        <v>421</v>
      </c>
      <c r="B230" s="0" t="s">
        <v>163</v>
      </c>
      <c r="C230" s="0" t="n">
        <v>6</v>
      </c>
      <c r="D230" s="0" t="s">
        <v>480</v>
      </c>
      <c r="E230" s="0" t="n">
        <v>8</v>
      </c>
      <c r="F230" s="0" t="s">
        <v>481</v>
      </c>
      <c r="G230" s="0" t="n">
        <v>6</v>
      </c>
    </row>
    <row r="231" customFormat="false" ht="15" hidden="false" customHeight="true" outlineLevel="0" collapsed="false">
      <c r="A231" s="0" t="s">
        <v>421</v>
      </c>
      <c r="B231" s="0" t="s">
        <v>163</v>
      </c>
      <c r="C231" s="0" t="n">
        <v>7</v>
      </c>
      <c r="D231" s="0" t="s">
        <v>482</v>
      </c>
      <c r="E231" s="0" t="n">
        <v>12</v>
      </c>
      <c r="F231" s="0" t="s">
        <v>483</v>
      </c>
      <c r="G231" s="0" t="n">
        <v>7</v>
      </c>
    </row>
    <row r="232" customFormat="false" ht="15" hidden="false" customHeight="true" outlineLevel="0" collapsed="false">
      <c r="A232" s="0" t="s">
        <v>421</v>
      </c>
      <c r="B232" s="0" t="s">
        <v>163</v>
      </c>
      <c r="C232" s="0" t="n">
        <v>8</v>
      </c>
      <c r="D232" s="0" t="s">
        <v>484</v>
      </c>
      <c r="E232" s="0" t="n">
        <v>9.5</v>
      </c>
      <c r="F232" s="0" t="s">
        <v>485</v>
      </c>
      <c r="G232" s="0" t="n">
        <v>8</v>
      </c>
    </row>
    <row r="233" customFormat="false" ht="15" hidden="false" customHeight="true" outlineLevel="0" collapsed="false">
      <c r="A233" s="0" t="s">
        <v>421</v>
      </c>
      <c r="B233" s="0" t="s">
        <v>163</v>
      </c>
      <c r="C233" s="0" t="n">
        <v>9</v>
      </c>
      <c r="D233" s="0" t="s">
        <v>486</v>
      </c>
      <c r="E233" s="0" t="n">
        <v>11.5</v>
      </c>
      <c r="F233" s="0" t="s">
        <v>487</v>
      </c>
      <c r="G233" s="0" t="n">
        <v>9</v>
      </c>
    </row>
    <row r="234" customFormat="false" ht="15" hidden="false" customHeight="true" outlineLevel="0" collapsed="false">
      <c r="A234" s="0" t="s">
        <v>421</v>
      </c>
      <c r="B234" s="0" t="s">
        <v>163</v>
      </c>
      <c r="C234" s="0" t="n">
        <v>10</v>
      </c>
      <c r="D234" s="0" t="s">
        <v>488</v>
      </c>
      <c r="E234" s="0" t="n">
        <v>10</v>
      </c>
      <c r="F234" s="0" t="s">
        <v>489</v>
      </c>
      <c r="G234" s="0" t="n">
        <v>10</v>
      </c>
    </row>
    <row r="235" customFormat="false" ht="15" hidden="false" customHeight="true" outlineLevel="0" collapsed="false">
      <c r="A235" s="0" t="s">
        <v>421</v>
      </c>
      <c r="B235" s="0" t="s">
        <v>163</v>
      </c>
      <c r="C235" s="0" t="n">
        <v>11</v>
      </c>
      <c r="D235" s="0" t="s">
        <v>490</v>
      </c>
      <c r="E235" s="0" t="n">
        <v>10</v>
      </c>
      <c r="F235" s="0" t="s">
        <v>491</v>
      </c>
      <c r="G235" s="0" t="n">
        <v>11</v>
      </c>
    </row>
    <row r="236" customFormat="false" ht="15" hidden="false" customHeight="true" outlineLevel="0" collapsed="false">
      <c r="A236" s="0" t="s">
        <v>421</v>
      </c>
      <c r="B236" s="0" t="s">
        <v>163</v>
      </c>
      <c r="C236" s="0" t="n">
        <v>12</v>
      </c>
      <c r="D236" s="0" t="s">
        <v>492</v>
      </c>
      <c r="E236" s="0" t="n">
        <v>8</v>
      </c>
      <c r="F236" s="0" t="s">
        <v>493</v>
      </c>
      <c r="G236" s="0" t="n">
        <v>12</v>
      </c>
    </row>
    <row r="237" customFormat="false" ht="15" hidden="false" customHeight="true" outlineLevel="0" collapsed="false">
      <c r="A237" s="0" t="s">
        <v>421</v>
      </c>
      <c r="B237" s="0" t="s">
        <v>163</v>
      </c>
      <c r="C237" s="0" t="n">
        <v>13</v>
      </c>
      <c r="D237" s="0" t="s">
        <v>494</v>
      </c>
      <c r="E237" s="0" t="n">
        <v>8</v>
      </c>
      <c r="F237" s="0" t="s">
        <v>495</v>
      </c>
      <c r="G237" s="0" t="n">
        <v>13</v>
      </c>
    </row>
    <row r="238" customFormat="false" ht="15" hidden="false" customHeight="true" outlineLevel="0" collapsed="false">
      <c r="A238" s="0" t="s">
        <v>421</v>
      </c>
      <c r="B238" s="0" t="s">
        <v>194</v>
      </c>
      <c r="C238" s="0" t="n">
        <v>1</v>
      </c>
      <c r="D238" s="0" t="s">
        <v>496</v>
      </c>
      <c r="E238" s="0" t="n">
        <v>4</v>
      </c>
      <c r="F238" s="0" t="s">
        <v>497</v>
      </c>
      <c r="G238" s="0" t="n">
        <v>1</v>
      </c>
    </row>
    <row r="239" customFormat="false" ht="15" hidden="false" customHeight="true" outlineLevel="0" collapsed="false">
      <c r="A239" s="0" t="s">
        <v>421</v>
      </c>
      <c r="B239" s="0" t="s">
        <v>194</v>
      </c>
      <c r="C239" s="0" t="n">
        <v>2</v>
      </c>
      <c r="D239" s="0" t="s">
        <v>498</v>
      </c>
      <c r="E239" s="0" t="n">
        <v>10</v>
      </c>
      <c r="F239" s="0" t="s">
        <v>499</v>
      </c>
      <c r="G239" s="0" t="n">
        <v>2</v>
      </c>
    </row>
    <row r="240" customFormat="false" ht="15" hidden="false" customHeight="true" outlineLevel="0" collapsed="false">
      <c r="A240" s="0" t="s">
        <v>421</v>
      </c>
      <c r="B240" s="0" t="s">
        <v>194</v>
      </c>
      <c r="C240" s="0" t="n">
        <v>3</v>
      </c>
      <c r="D240" s="0" t="s">
        <v>500</v>
      </c>
      <c r="E240" s="0" t="n">
        <v>10</v>
      </c>
      <c r="F240" s="0" t="s">
        <v>501</v>
      </c>
      <c r="G240" s="0" t="n">
        <v>3</v>
      </c>
    </row>
    <row r="241" customFormat="false" ht="15" hidden="false" customHeight="true" outlineLevel="0" collapsed="false">
      <c r="A241" s="0" t="s">
        <v>421</v>
      </c>
      <c r="B241" s="0" t="s">
        <v>194</v>
      </c>
      <c r="C241" s="0" t="n">
        <v>4</v>
      </c>
      <c r="D241" s="0" t="s">
        <v>502</v>
      </c>
      <c r="E241" s="0" t="n">
        <v>14</v>
      </c>
      <c r="F241" s="0" t="s">
        <v>503</v>
      </c>
      <c r="G241" s="0" t="n">
        <v>4</v>
      </c>
    </row>
    <row r="242" customFormat="false" ht="15" hidden="false" customHeight="true" outlineLevel="0" collapsed="false">
      <c r="A242" s="0" t="s">
        <v>421</v>
      </c>
      <c r="B242" s="0" t="s">
        <v>194</v>
      </c>
      <c r="C242" s="0" t="n">
        <v>5</v>
      </c>
      <c r="D242" s="0" t="s">
        <v>504</v>
      </c>
      <c r="E242" s="0" t="n">
        <v>12</v>
      </c>
      <c r="F242" s="0" t="s">
        <v>505</v>
      </c>
      <c r="G242" s="0" t="n">
        <v>5</v>
      </c>
    </row>
    <row r="243" customFormat="false" ht="15" hidden="false" customHeight="true" outlineLevel="0" collapsed="false">
      <c r="A243" s="0" t="s">
        <v>421</v>
      </c>
      <c r="B243" s="0" t="s">
        <v>194</v>
      </c>
      <c r="C243" s="0" t="n">
        <v>6</v>
      </c>
      <c r="D243" s="0" t="s">
        <v>506</v>
      </c>
      <c r="E243" s="0" t="n">
        <v>13.5</v>
      </c>
      <c r="F243" s="0" t="s">
        <v>507</v>
      </c>
      <c r="G243" s="0" t="n">
        <v>6</v>
      </c>
    </row>
    <row r="244" customFormat="false" ht="15" hidden="false" customHeight="true" outlineLevel="0" collapsed="false">
      <c r="A244" s="0" t="s">
        <v>421</v>
      </c>
      <c r="B244" s="0" t="s">
        <v>194</v>
      </c>
      <c r="C244" s="0" t="n">
        <v>7</v>
      </c>
      <c r="D244" s="0" t="s">
        <v>508</v>
      </c>
      <c r="E244" s="0" t="n">
        <v>14</v>
      </c>
      <c r="F244" s="0" t="s">
        <v>509</v>
      </c>
      <c r="G244" s="0" t="n">
        <v>7</v>
      </c>
    </row>
    <row r="245" customFormat="false" ht="15" hidden="false" customHeight="true" outlineLevel="0" collapsed="false">
      <c r="A245" s="0" t="s">
        <v>421</v>
      </c>
      <c r="B245" s="0" t="s">
        <v>194</v>
      </c>
      <c r="C245" s="0" t="n">
        <v>8</v>
      </c>
      <c r="D245" s="0" t="s">
        <v>510</v>
      </c>
      <c r="E245" s="0" t="n">
        <v>8</v>
      </c>
      <c r="F245" s="0" t="s">
        <v>511</v>
      </c>
      <c r="G245" s="0" t="n">
        <v>8</v>
      </c>
    </row>
    <row r="246" customFormat="false" ht="15" hidden="false" customHeight="true" outlineLevel="0" collapsed="false">
      <c r="A246" s="0" t="s">
        <v>421</v>
      </c>
      <c r="B246" s="0" t="s">
        <v>194</v>
      </c>
      <c r="C246" s="0" t="n">
        <v>9</v>
      </c>
      <c r="D246" s="0" t="s">
        <v>512</v>
      </c>
      <c r="E246" s="0" t="n">
        <v>14</v>
      </c>
      <c r="F246" s="0" t="s">
        <v>513</v>
      </c>
      <c r="G246" s="0" t="n">
        <v>9</v>
      </c>
    </row>
    <row r="247" customFormat="false" ht="15" hidden="false" customHeight="true" outlineLevel="0" collapsed="false">
      <c r="A247" s="0" t="s">
        <v>421</v>
      </c>
      <c r="B247" s="0" t="s">
        <v>194</v>
      </c>
      <c r="C247" s="0" t="n">
        <v>10</v>
      </c>
      <c r="D247" s="0" t="s">
        <v>514</v>
      </c>
      <c r="E247" s="0" t="n">
        <v>11.5</v>
      </c>
      <c r="F247" s="0" t="s">
        <v>515</v>
      </c>
      <c r="G247" s="0" t="n">
        <v>10</v>
      </c>
    </row>
    <row r="248" customFormat="false" ht="15" hidden="false" customHeight="true" outlineLevel="0" collapsed="false">
      <c r="A248" s="0" t="s">
        <v>421</v>
      </c>
      <c r="B248" s="0" t="s">
        <v>194</v>
      </c>
      <c r="C248" s="0" t="n">
        <v>11</v>
      </c>
      <c r="D248" s="0" t="s">
        <v>516</v>
      </c>
      <c r="E248" s="0" t="n">
        <v>10</v>
      </c>
      <c r="F248" s="0" t="s">
        <v>517</v>
      </c>
      <c r="G248" s="0" t="n">
        <v>11</v>
      </c>
    </row>
    <row r="249" customFormat="false" ht="15" hidden="false" customHeight="true" outlineLevel="0" collapsed="false">
      <c r="A249" s="0" t="s">
        <v>421</v>
      </c>
      <c r="B249" s="0" t="s">
        <v>194</v>
      </c>
      <c r="C249" s="0" t="n">
        <v>12</v>
      </c>
      <c r="D249" s="0" t="s">
        <v>518</v>
      </c>
      <c r="E249" s="0" t="n">
        <v>10</v>
      </c>
      <c r="F249" s="0" t="s">
        <v>519</v>
      </c>
      <c r="G249" s="0" t="n">
        <v>12</v>
      </c>
    </row>
    <row r="250" customFormat="false" ht="15" hidden="false" customHeight="true" outlineLevel="0" collapsed="false">
      <c r="A250" s="0" t="s">
        <v>421</v>
      </c>
      <c r="B250" s="0" t="s">
        <v>194</v>
      </c>
      <c r="C250" s="0" t="n">
        <v>13</v>
      </c>
      <c r="D250" s="0" t="s">
        <v>520</v>
      </c>
      <c r="E250" s="0" t="n">
        <v>6</v>
      </c>
      <c r="F250" s="0" t="s">
        <v>521</v>
      </c>
      <c r="G250" s="0" t="n">
        <v>13</v>
      </c>
    </row>
    <row r="251" customFormat="false" ht="15" hidden="false" customHeight="true" outlineLevel="0" collapsed="false">
      <c r="A251" s="0" t="s">
        <v>522</v>
      </c>
      <c r="B251" s="0" t="s">
        <v>99</v>
      </c>
      <c r="C251" s="0" t="n">
        <v>1</v>
      </c>
      <c r="D251" s="0" t="s">
        <v>523</v>
      </c>
      <c r="E251" s="0" t="n">
        <v>5</v>
      </c>
      <c r="F251" s="0" t="s">
        <v>524</v>
      </c>
      <c r="G251" s="0" t="n">
        <v>1</v>
      </c>
    </row>
    <row r="252" customFormat="false" ht="15" hidden="false" customHeight="true" outlineLevel="0" collapsed="false">
      <c r="A252" s="0" t="s">
        <v>522</v>
      </c>
      <c r="B252" s="0" t="s">
        <v>99</v>
      </c>
      <c r="C252" s="0" t="n">
        <v>2</v>
      </c>
      <c r="D252" s="0" t="s">
        <v>525</v>
      </c>
      <c r="E252" s="0" t="n">
        <v>8</v>
      </c>
      <c r="F252" s="0" t="s">
        <v>526</v>
      </c>
      <c r="G252" s="0" t="n">
        <v>2</v>
      </c>
    </row>
    <row r="253" customFormat="false" ht="15" hidden="false" customHeight="true" outlineLevel="0" collapsed="false">
      <c r="A253" s="0" t="s">
        <v>522</v>
      </c>
      <c r="B253" s="0" t="s">
        <v>99</v>
      </c>
      <c r="C253" s="0" t="n">
        <v>3</v>
      </c>
      <c r="D253" s="0" t="s">
        <v>527</v>
      </c>
      <c r="E253" s="0" t="n">
        <v>9</v>
      </c>
      <c r="F253" s="0" t="s">
        <v>528</v>
      </c>
      <c r="G253" s="0" t="n">
        <v>3</v>
      </c>
    </row>
    <row r="254" customFormat="false" ht="15" hidden="false" customHeight="true" outlineLevel="0" collapsed="false">
      <c r="A254" s="0" t="s">
        <v>522</v>
      </c>
      <c r="B254" s="0" t="s">
        <v>99</v>
      </c>
      <c r="C254" s="0" t="n">
        <v>4</v>
      </c>
      <c r="D254" s="0" t="s">
        <v>529</v>
      </c>
      <c r="E254" s="0" t="n">
        <v>8</v>
      </c>
      <c r="F254" s="0" t="s">
        <v>530</v>
      </c>
      <c r="G254" s="0" t="n">
        <v>4</v>
      </c>
    </row>
    <row r="255" customFormat="false" ht="15" hidden="false" customHeight="true" outlineLevel="0" collapsed="false">
      <c r="A255" s="0" t="s">
        <v>522</v>
      </c>
      <c r="B255" s="0" t="s">
        <v>99</v>
      </c>
      <c r="C255" s="0" t="n">
        <v>5</v>
      </c>
      <c r="D255" s="0" t="s">
        <v>531</v>
      </c>
      <c r="E255" s="0" t="n">
        <v>7</v>
      </c>
      <c r="F255" s="0" t="s">
        <v>532</v>
      </c>
      <c r="G255" s="0" t="n">
        <v>5</v>
      </c>
    </row>
    <row r="256" customFormat="false" ht="15" hidden="false" customHeight="true" outlineLevel="0" collapsed="false">
      <c r="A256" s="0" t="s">
        <v>522</v>
      </c>
      <c r="B256" s="0" t="s">
        <v>99</v>
      </c>
      <c r="C256" s="0" t="n">
        <v>6</v>
      </c>
      <c r="D256" s="0" t="s">
        <v>533</v>
      </c>
      <c r="E256" s="0" t="n">
        <v>13</v>
      </c>
      <c r="F256" s="0" t="s">
        <v>534</v>
      </c>
      <c r="G256" s="0" t="n">
        <v>6</v>
      </c>
    </row>
    <row r="257" customFormat="false" ht="15" hidden="false" customHeight="true" outlineLevel="0" collapsed="false">
      <c r="A257" s="0" t="s">
        <v>522</v>
      </c>
      <c r="B257" s="0" t="s">
        <v>99</v>
      </c>
      <c r="C257" s="0" t="n">
        <v>7</v>
      </c>
      <c r="D257" s="0" t="s">
        <v>535</v>
      </c>
      <c r="E257" s="0" t="n">
        <v>12</v>
      </c>
      <c r="F257" s="0" t="s">
        <v>536</v>
      </c>
      <c r="G257" s="0" t="n">
        <v>7</v>
      </c>
    </row>
    <row r="258" customFormat="false" ht="15" hidden="false" customHeight="true" outlineLevel="0" collapsed="false">
      <c r="A258" s="0" t="s">
        <v>522</v>
      </c>
      <c r="B258" s="0" t="s">
        <v>99</v>
      </c>
      <c r="C258" s="0" t="n">
        <v>8</v>
      </c>
      <c r="D258" s="0" t="s">
        <v>537</v>
      </c>
      <c r="E258" s="0" t="n">
        <v>7</v>
      </c>
      <c r="F258" s="0" t="s">
        <v>538</v>
      </c>
      <c r="G258" s="0" t="n">
        <v>8</v>
      </c>
    </row>
    <row r="259" customFormat="false" ht="15" hidden="false" customHeight="true" outlineLevel="0" collapsed="false">
      <c r="A259" s="0" t="s">
        <v>522</v>
      </c>
      <c r="B259" s="0" t="s">
        <v>99</v>
      </c>
      <c r="C259" s="0" t="n">
        <v>9</v>
      </c>
      <c r="D259" s="0" t="s">
        <v>539</v>
      </c>
      <c r="E259" s="0" t="n">
        <v>8</v>
      </c>
      <c r="F259" s="0" t="s">
        <v>540</v>
      </c>
      <c r="G259" s="0" t="n">
        <v>9</v>
      </c>
    </row>
    <row r="260" customFormat="false" ht="15" hidden="false" customHeight="true" outlineLevel="0" collapsed="false">
      <c r="A260" s="0" t="s">
        <v>522</v>
      </c>
      <c r="B260" s="0" t="s">
        <v>99</v>
      </c>
      <c r="C260" s="0" t="n">
        <v>10</v>
      </c>
      <c r="D260" s="0" t="s">
        <v>541</v>
      </c>
      <c r="E260" s="0" t="n">
        <v>8</v>
      </c>
      <c r="F260" s="0" t="s">
        <v>542</v>
      </c>
      <c r="G260" s="0" t="n">
        <v>10</v>
      </c>
    </row>
    <row r="261" customFormat="false" ht="15" hidden="false" customHeight="true" outlineLevel="0" collapsed="false">
      <c r="A261" s="0" t="s">
        <v>522</v>
      </c>
      <c r="B261" s="0" t="s">
        <v>99</v>
      </c>
      <c r="C261" s="0" t="n">
        <v>11</v>
      </c>
      <c r="D261" s="0" t="s">
        <v>543</v>
      </c>
      <c r="E261" s="0" t="n">
        <v>10</v>
      </c>
      <c r="F261" s="0" t="s">
        <v>544</v>
      </c>
      <c r="G261" s="0" t="n">
        <v>11</v>
      </c>
    </row>
    <row r="262" customFormat="false" ht="15" hidden="false" customHeight="true" outlineLevel="0" collapsed="false">
      <c r="A262" s="0" t="s">
        <v>522</v>
      </c>
      <c r="B262" s="0" t="s">
        <v>99</v>
      </c>
      <c r="C262" s="0" t="n">
        <v>12</v>
      </c>
      <c r="D262" s="0" t="s">
        <v>545</v>
      </c>
      <c r="E262" s="0" t="n">
        <v>7</v>
      </c>
      <c r="F262" s="0" t="s">
        <v>546</v>
      </c>
      <c r="G262" s="0" t="n">
        <v>12</v>
      </c>
    </row>
    <row r="263" customFormat="false" ht="15" hidden="false" customHeight="true" outlineLevel="0" collapsed="false">
      <c r="A263" s="0" t="s">
        <v>522</v>
      </c>
      <c r="B263" s="0" t="s">
        <v>99</v>
      </c>
      <c r="C263" s="0" t="n">
        <v>13</v>
      </c>
      <c r="D263" s="0" t="s">
        <v>547</v>
      </c>
      <c r="E263" s="0" t="n">
        <v>6</v>
      </c>
      <c r="F263" s="0" t="s">
        <v>548</v>
      </c>
      <c r="G263" s="0" t="n">
        <v>13</v>
      </c>
    </row>
    <row r="264" customFormat="false" ht="15" hidden="false" customHeight="true" outlineLevel="0" collapsed="false">
      <c r="A264" s="0" t="s">
        <v>522</v>
      </c>
      <c r="B264" s="0" t="s">
        <v>99</v>
      </c>
      <c r="C264" s="0" t="n">
        <v>14</v>
      </c>
      <c r="D264" s="0" t="s">
        <v>549</v>
      </c>
      <c r="E264" s="0" t="n">
        <v>5</v>
      </c>
      <c r="F264" s="0" t="s">
        <v>550</v>
      </c>
      <c r="G264" s="0" t="n">
        <v>14</v>
      </c>
    </row>
    <row r="265" customFormat="false" ht="15" hidden="false" customHeight="true" outlineLevel="0" collapsed="false">
      <c r="A265" s="0" t="s">
        <v>522</v>
      </c>
      <c r="B265" s="0" t="s">
        <v>132</v>
      </c>
      <c r="C265" s="0" t="n">
        <v>1</v>
      </c>
      <c r="D265" s="0" t="s">
        <v>551</v>
      </c>
      <c r="E265" s="0" t="n">
        <v>8</v>
      </c>
      <c r="F265" s="0" t="s">
        <v>552</v>
      </c>
      <c r="G265" s="0" t="n">
        <v>1</v>
      </c>
    </row>
    <row r="266" customFormat="false" ht="15" hidden="false" customHeight="true" outlineLevel="0" collapsed="false">
      <c r="A266" s="0" t="s">
        <v>522</v>
      </c>
      <c r="B266" s="0" t="s">
        <v>132</v>
      </c>
      <c r="C266" s="0" t="n">
        <v>2</v>
      </c>
      <c r="D266" s="0" t="s">
        <v>553</v>
      </c>
      <c r="E266" s="0" t="n">
        <v>4</v>
      </c>
      <c r="F266" s="0" t="s">
        <v>554</v>
      </c>
      <c r="G266" s="0" t="n">
        <v>2</v>
      </c>
    </row>
    <row r="267" customFormat="false" ht="15" hidden="false" customHeight="true" outlineLevel="0" collapsed="false">
      <c r="A267" s="0" t="s">
        <v>522</v>
      </c>
      <c r="B267" s="0" t="s">
        <v>132</v>
      </c>
      <c r="C267" s="0" t="n">
        <v>3</v>
      </c>
      <c r="D267" s="0" t="s">
        <v>555</v>
      </c>
      <c r="E267" s="0" t="n">
        <v>9</v>
      </c>
      <c r="F267" s="0" t="s">
        <v>556</v>
      </c>
      <c r="G267" s="0" t="n">
        <v>3</v>
      </c>
    </row>
    <row r="268" customFormat="false" ht="15" hidden="false" customHeight="true" outlineLevel="0" collapsed="false">
      <c r="A268" s="0" t="s">
        <v>522</v>
      </c>
      <c r="B268" s="0" t="s">
        <v>132</v>
      </c>
      <c r="C268" s="0" t="n">
        <v>4</v>
      </c>
      <c r="D268" s="0" t="s">
        <v>557</v>
      </c>
      <c r="E268" s="0" t="n">
        <v>8</v>
      </c>
      <c r="F268" s="0" t="s">
        <v>558</v>
      </c>
      <c r="G268" s="0" t="n">
        <v>4</v>
      </c>
    </row>
    <row r="269" customFormat="false" ht="15" hidden="false" customHeight="true" outlineLevel="0" collapsed="false">
      <c r="A269" s="0" t="s">
        <v>522</v>
      </c>
      <c r="B269" s="0" t="s">
        <v>132</v>
      </c>
      <c r="C269" s="0" t="n">
        <v>5</v>
      </c>
      <c r="D269" s="0" t="s">
        <v>559</v>
      </c>
      <c r="E269" s="0" t="n">
        <v>8</v>
      </c>
      <c r="F269" s="0" t="s">
        <v>560</v>
      </c>
      <c r="G269" s="0" t="n">
        <v>5</v>
      </c>
    </row>
    <row r="270" customFormat="false" ht="15" hidden="false" customHeight="true" outlineLevel="0" collapsed="false">
      <c r="A270" s="0" t="s">
        <v>522</v>
      </c>
      <c r="B270" s="0" t="s">
        <v>132</v>
      </c>
      <c r="C270" s="0" t="n">
        <v>6</v>
      </c>
      <c r="D270" s="0" t="s">
        <v>561</v>
      </c>
      <c r="E270" s="0" t="n">
        <v>8</v>
      </c>
      <c r="F270" s="0" t="s">
        <v>562</v>
      </c>
      <c r="G270" s="0" t="n">
        <v>6</v>
      </c>
    </row>
    <row r="271" customFormat="false" ht="15" hidden="false" customHeight="true" outlineLevel="0" collapsed="false">
      <c r="A271" s="0" t="s">
        <v>522</v>
      </c>
      <c r="B271" s="0" t="s">
        <v>132</v>
      </c>
      <c r="C271" s="0" t="n">
        <v>7</v>
      </c>
      <c r="D271" s="0" t="s">
        <v>563</v>
      </c>
      <c r="E271" s="0" t="n">
        <v>8</v>
      </c>
      <c r="F271" s="0" t="s">
        <v>564</v>
      </c>
      <c r="G271" s="0" t="n">
        <v>7</v>
      </c>
    </row>
    <row r="272" customFormat="false" ht="15" hidden="false" customHeight="true" outlineLevel="0" collapsed="false">
      <c r="A272" s="0" t="s">
        <v>522</v>
      </c>
      <c r="B272" s="0" t="s">
        <v>132</v>
      </c>
      <c r="C272" s="0" t="n">
        <v>8</v>
      </c>
      <c r="D272" s="0" t="s">
        <v>565</v>
      </c>
      <c r="E272" s="0" t="n">
        <v>7</v>
      </c>
      <c r="F272" s="0" t="s">
        <v>566</v>
      </c>
      <c r="G272" s="0" t="n">
        <v>8</v>
      </c>
    </row>
    <row r="273" customFormat="false" ht="15" hidden="false" customHeight="true" outlineLevel="0" collapsed="false">
      <c r="A273" s="0" t="s">
        <v>522</v>
      </c>
      <c r="B273" s="0" t="s">
        <v>132</v>
      </c>
      <c r="C273" s="0" t="n">
        <v>9</v>
      </c>
      <c r="D273" s="0" t="s">
        <v>567</v>
      </c>
      <c r="E273" s="0" t="n">
        <v>9</v>
      </c>
      <c r="F273" s="0" t="s">
        <v>568</v>
      </c>
      <c r="G273" s="0" t="n">
        <v>9</v>
      </c>
    </row>
    <row r="274" customFormat="false" ht="15" hidden="false" customHeight="true" outlineLevel="0" collapsed="false">
      <c r="A274" s="0" t="s">
        <v>522</v>
      </c>
      <c r="B274" s="0" t="s">
        <v>132</v>
      </c>
      <c r="C274" s="0" t="n">
        <v>10</v>
      </c>
      <c r="D274" s="0" t="s">
        <v>569</v>
      </c>
      <c r="E274" s="0" t="n">
        <v>8</v>
      </c>
      <c r="F274" s="0" t="s">
        <v>570</v>
      </c>
      <c r="G274" s="0" t="n">
        <v>10</v>
      </c>
    </row>
    <row r="275" customFormat="false" ht="15" hidden="false" customHeight="true" outlineLevel="0" collapsed="false">
      <c r="A275" s="0" t="s">
        <v>522</v>
      </c>
      <c r="B275" s="0" t="s">
        <v>132</v>
      </c>
      <c r="C275" s="0" t="n">
        <v>11</v>
      </c>
      <c r="D275" s="0" t="s">
        <v>571</v>
      </c>
      <c r="E275" s="0" t="n">
        <v>6</v>
      </c>
      <c r="F275" s="0" t="s">
        <v>572</v>
      </c>
      <c r="G275" s="0" t="n">
        <v>11</v>
      </c>
    </row>
    <row r="276" customFormat="false" ht="15" hidden="false" customHeight="true" outlineLevel="0" collapsed="false">
      <c r="A276" s="0" t="s">
        <v>522</v>
      </c>
      <c r="B276" s="0" t="s">
        <v>132</v>
      </c>
      <c r="C276" s="0" t="n">
        <v>12</v>
      </c>
      <c r="D276" s="0" t="s">
        <v>573</v>
      </c>
      <c r="E276" s="0" t="n">
        <v>8</v>
      </c>
      <c r="F276" s="0" t="s">
        <v>574</v>
      </c>
      <c r="G276" s="0" t="n">
        <v>12</v>
      </c>
    </row>
    <row r="277" customFormat="false" ht="15" hidden="false" customHeight="true" outlineLevel="0" collapsed="false">
      <c r="A277" s="0" t="s">
        <v>522</v>
      </c>
      <c r="B277" s="0" t="s">
        <v>163</v>
      </c>
      <c r="C277" s="0" t="n">
        <v>1</v>
      </c>
      <c r="D277" s="0" t="s">
        <v>575</v>
      </c>
      <c r="E277" s="0" t="n">
        <v>8</v>
      </c>
      <c r="F277" s="0" t="s">
        <v>576</v>
      </c>
      <c r="G277" s="0" t="n">
        <v>1</v>
      </c>
    </row>
    <row r="278" customFormat="false" ht="15" hidden="false" customHeight="true" outlineLevel="0" collapsed="false">
      <c r="A278" s="0" t="s">
        <v>522</v>
      </c>
      <c r="B278" s="0" t="s">
        <v>163</v>
      </c>
      <c r="C278" s="0" t="n">
        <v>2</v>
      </c>
      <c r="D278" s="0" t="s">
        <v>577</v>
      </c>
      <c r="E278" s="0" t="n">
        <v>11</v>
      </c>
      <c r="F278" s="0" t="s">
        <v>578</v>
      </c>
      <c r="G278" s="0" t="n">
        <v>2</v>
      </c>
    </row>
    <row r="279" customFormat="false" ht="15" hidden="false" customHeight="true" outlineLevel="0" collapsed="false">
      <c r="A279" s="0" t="s">
        <v>522</v>
      </c>
      <c r="B279" s="0" t="s">
        <v>163</v>
      </c>
      <c r="C279" s="0" t="n">
        <v>3</v>
      </c>
      <c r="D279" s="0" t="s">
        <v>579</v>
      </c>
      <c r="E279" s="0" t="n">
        <v>12</v>
      </c>
      <c r="F279" s="0" t="s">
        <v>580</v>
      </c>
      <c r="G279" s="0" t="n">
        <v>3</v>
      </c>
    </row>
    <row r="280" customFormat="false" ht="15" hidden="false" customHeight="true" outlineLevel="0" collapsed="false">
      <c r="A280" s="0" t="s">
        <v>522</v>
      </c>
      <c r="B280" s="0" t="s">
        <v>163</v>
      </c>
      <c r="C280" s="0" t="n">
        <v>4</v>
      </c>
      <c r="D280" s="0" t="s">
        <v>581</v>
      </c>
      <c r="E280" s="0" t="n">
        <v>14</v>
      </c>
      <c r="F280" s="0" t="s">
        <v>582</v>
      </c>
      <c r="G280" s="0" t="n">
        <v>4</v>
      </c>
    </row>
    <row r="281" customFormat="false" ht="15" hidden="false" customHeight="true" outlineLevel="0" collapsed="false">
      <c r="A281" s="0" t="s">
        <v>522</v>
      </c>
      <c r="B281" s="0" t="s">
        <v>163</v>
      </c>
      <c r="C281" s="0" t="n">
        <v>5</v>
      </c>
      <c r="D281" s="0" t="s">
        <v>583</v>
      </c>
      <c r="E281" s="0" t="n">
        <v>9</v>
      </c>
      <c r="F281" s="0" t="s">
        <v>584</v>
      </c>
      <c r="G281" s="0" t="n">
        <v>5</v>
      </c>
    </row>
    <row r="282" customFormat="false" ht="15" hidden="false" customHeight="true" outlineLevel="0" collapsed="false">
      <c r="A282" s="0" t="s">
        <v>522</v>
      </c>
      <c r="B282" s="0" t="s">
        <v>163</v>
      </c>
      <c r="C282" s="0" t="n">
        <v>6</v>
      </c>
      <c r="D282" s="0" t="s">
        <v>585</v>
      </c>
      <c r="E282" s="0" t="n">
        <v>9</v>
      </c>
      <c r="F282" s="0" t="s">
        <v>586</v>
      </c>
      <c r="G282" s="0" t="n">
        <v>6</v>
      </c>
    </row>
    <row r="283" customFormat="false" ht="15" hidden="false" customHeight="true" outlineLevel="0" collapsed="false">
      <c r="A283" s="0" t="s">
        <v>522</v>
      </c>
      <c r="B283" s="0" t="s">
        <v>163</v>
      </c>
      <c r="C283" s="0" t="n">
        <v>7</v>
      </c>
      <c r="D283" s="0" t="s">
        <v>587</v>
      </c>
      <c r="E283" s="0" t="n">
        <v>9</v>
      </c>
      <c r="F283" s="0" t="s">
        <v>588</v>
      </c>
      <c r="G283" s="0" t="n">
        <v>7</v>
      </c>
    </row>
    <row r="284" customFormat="false" ht="15" hidden="false" customHeight="true" outlineLevel="0" collapsed="false">
      <c r="A284" s="0" t="s">
        <v>522</v>
      </c>
      <c r="B284" s="0" t="s">
        <v>163</v>
      </c>
      <c r="C284" s="0" t="n">
        <v>8</v>
      </c>
      <c r="D284" s="0" t="s">
        <v>589</v>
      </c>
      <c r="E284" s="0" t="n">
        <v>10</v>
      </c>
      <c r="F284" s="0" t="s">
        <v>590</v>
      </c>
      <c r="G284" s="0" t="n">
        <v>8</v>
      </c>
    </row>
    <row r="285" customFormat="false" ht="15" hidden="false" customHeight="true" outlineLevel="0" collapsed="false">
      <c r="A285" s="0" t="s">
        <v>522</v>
      </c>
      <c r="B285" s="0" t="s">
        <v>163</v>
      </c>
      <c r="C285" s="0" t="n">
        <v>9</v>
      </c>
      <c r="D285" s="0" t="s">
        <v>591</v>
      </c>
      <c r="E285" s="0" t="n">
        <v>13</v>
      </c>
      <c r="F285" s="0" t="s">
        <v>592</v>
      </c>
      <c r="G285" s="0" t="n">
        <v>9</v>
      </c>
    </row>
    <row r="286" customFormat="false" ht="15" hidden="false" customHeight="true" outlineLevel="0" collapsed="false">
      <c r="A286" s="0" t="s">
        <v>522</v>
      </c>
      <c r="B286" s="0" t="s">
        <v>163</v>
      </c>
      <c r="C286" s="0" t="n">
        <v>10</v>
      </c>
      <c r="D286" s="0" t="s">
        <v>593</v>
      </c>
      <c r="E286" s="0" t="n">
        <v>9</v>
      </c>
      <c r="F286" s="0" t="s">
        <v>594</v>
      </c>
      <c r="G286" s="0" t="n">
        <v>10</v>
      </c>
    </row>
    <row r="287" customFormat="false" ht="15" hidden="false" customHeight="true" outlineLevel="0" collapsed="false">
      <c r="A287" s="0" t="s">
        <v>522</v>
      </c>
      <c r="B287" s="0" t="s">
        <v>163</v>
      </c>
      <c r="C287" s="0" t="n">
        <v>11</v>
      </c>
      <c r="D287" s="0" t="s">
        <v>595</v>
      </c>
      <c r="E287" s="0" t="n">
        <v>11</v>
      </c>
      <c r="F287" s="0" t="s">
        <v>596</v>
      </c>
      <c r="G287" s="0" t="n">
        <v>11</v>
      </c>
    </row>
    <row r="288" customFormat="false" ht="15" hidden="false" customHeight="true" outlineLevel="0" collapsed="false">
      <c r="A288" s="0" t="s">
        <v>522</v>
      </c>
      <c r="B288" s="0" t="s">
        <v>163</v>
      </c>
      <c r="C288" s="0" t="n">
        <v>12</v>
      </c>
      <c r="D288" s="0" t="s">
        <v>597</v>
      </c>
      <c r="E288" s="0" t="n">
        <v>10</v>
      </c>
      <c r="F288" s="0" t="s">
        <v>598</v>
      </c>
      <c r="G288" s="0" t="n">
        <v>12</v>
      </c>
    </row>
    <row r="289" customFormat="false" ht="15" hidden="false" customHeight="true" outlineLevel="0" collapsed="false">
      <c r="A289" s="0" t="s">
        <v>522</v>
      </c>
      <c r="B289" s="0" t="s">
        <v>163</v>
      </c>
      <c r="C289" s="0" t="n">
        <v>13</v>
      </c>
      <c r="D289" s="0" t="s">
        <v>599</v>
      </c>
      <c r="E289" s="0" t="n">
        <v>8</v>
      </c>
      <c r="F289" s="0" t="s">
        <v>600</v>
      </c>
      <c r="G289" s="0" t="n">
        <v>13</v>
      </c>
    </row>
    <row r="290" customFormat="false" ht="15" hidden="false" customHeight="true" outlineLevel="0" collapsed="false">
      <c r="A290" s="0" t="s">
        <v>522</v>
      </c>
      <c r="B290" s="0" t="s">
        <v>163</v>
      </c>
      <c r="C290" s="0" t="n">
        <v>14</v>
      </c>
      <c r="D290" s="0" t="s">
        <v>601</v>
      </c>
      <c r="E290" s="0" t="n">
        <v>11</v>
      </c>
      <c r="F290" s="0" t="s">
        <v>602</v>
      </c>
      <c r="G290" s="0" t="n">
        <v>14</v>
      </c>
    </row>
    <row r="291" customFormat="false" ht="15" hidden="false" customHeight="true" outlineLevel="0" collapsed="false">
      <c r="A291" s="0" t="s">
        <v>522</v>
      </c>
      <c r="B291" s="0" t="s">
        <v>163</v>
      </c>
      <c r="C291" s="0" t="n">
        <v>15</v>
      </c>
      <c r="D291" s="0" t="s">
        <v>603</v>
      </c>
      <c r="E291" s="0" t="n">
        <v>13</v>
      </c>
      <c r="F291" s="0" t="s">
        <v>604</v>
      </c>
      <c r="G291" s="0" t="n">
        <v>15</v>
      </c>
    </row>
    <row r="292" customFormat="false" ht="15" hidden="false" customHeight="true" outlineLevel="0" collapsed="false">
      <c r="A292" s="0" t="s">
        <v>522</v>
      </c>
      <c r="B292" s="0" t="s">
        <v>194</v>
      </c>
      <c r="C292" s="0" t="n">
        <v>1</v>
      </c>
      <c r="D292" s="0" t="s">
        <v>605</v>
      </c>
      <c r="E292" s="0" t="n">
        <v>13</v>
      </c>
      <c r="F292" s="0" t="s">
        <v>606</v>
      </c>
      <c r="G292" s="0" t="n">
        <v>1</v>
      </c>
    </row>
    <row r="293" customFormat="false" ht="15" hidden="false" customHeight="true" outlineLevel="0" collapsed="false">
      <c r="A293" s="0" t="s">
        <v>522</v>
      </c>
      <c r="B293" s="0" t="s">
        <v>194</v>
      </c>
      <c r="C293" s="0" t="n">
        <v>2</v>
      </c>
      <c r="D293" s="0" t="s">
        <v>607</v>
      </c>
      <c r="E293" s="0" t="n">
        <v>10</v>
      </c>
      <c r="F293" s="0" t="s">
        <v>608</v>
      </c>
      <c r="G293" s="0" t="n">
        <v>2</v>
      </c>
    </row>
    <row r="294" customFormat="false" ht="15" hidden="false" customHeight="true" outlineLevel="0" collapsed="false">
      <c r="A294" s="0" t="s">
        <v>522</v>
      </c>
      <c r="B294" s="0" t="s">
        <v>194</v>
      </c>
      <c r="C294" s="0" t="n">
        <v>3</v>
      </c>
      <c r="D294" s="0" t="s">
        <v>609</v>
      </c>
      <c r="E294" s="0" t="n">
        <v>11</v>
      </c>
      <c r="F294" s="0" t="s">
        <v>610</v>
      </c>
      <c r="G294" s="0" t="n">
        <v>3</v>
      </c>
    </row>
    <row r="295" customFormat="false" ht="15" hidden="false" customHeight="true" outlineLevel="0" collapsed="false">
      <c r="A295" s="0" t="s">
        <v>522</v>
      </c>
      <c r="B295" s="0" t="s">
        <v>194</v>
      </c>
      <c r="C295" s="0" t="n">
        <v>4</v>
      </c>
      <c r="D295" s="0" t="s">
        <v>611</v>
      </c>
      <c r="E295" s="0" t="n">
        <v>17</v>
      </c>
      <c r="F295" s="0" t="s">
        <v>612</v>
      </c>
      <c r="G295" s="0" t="n">
        <v>4</v>
      </c>
    </row>
    <row r="296" customFormat="false" ht="15" hidden="false" customHeight="true" outlineLevel="0" collapsed="false">
      <c r="A296" s="0" t="s">
        <v>522</v>
      </c>
      <c r="B296" s="0" t="s">
        <v>194</v>
      </c>
      <c r="C296" s="0" t="n">
        <v>5</v>
      </c>
      <c r="D296" s="0" t="s">
        <v>613</v>
      </c>
      <c r="E296" s="0" t="n">
        <v>19</v>
      </c>
      <c r="F296" s="0" t="s">
        <v>614</v>
      </c>
      <c r="G296" s="0" t="n">
        <v>5</v>
      </c>
    </row>
    <row r="297" customFormat="false" ht="15" hidden="false" customHeight="true" outlineLevel="0" collapsed="false">
      <c r="A297" s="0" t="s">
        <v>522</v>
      </c>
      <c r="B297" s="0" t="s">
        <v>194</v>
      </c>
      <c r="C297" s="0" t="n">
        <v>6</v>
      </c>
      <c r="D297" s="0" t="s">
        <v>615</v>
      </c>
      <c r="E297" s="0" t="n">
        <v>17</v>
      </c>
      <c r="F297" s="0" t="s">
        <v>616</v>
      </c>
      <c r="G297" s="0" t="n">
        <v>6</v>
      </c>
    </row>
    <row r="298" customFormat="false" ht="15" hidden="false" customHeight="true" outlineLevel="0" collapsed="false">
      <c r="A298" s="0" t="s">
        <v>522</v>
      </c>
      <c r="B298" s="0" t="s">
        <v>194</v>
      </c>
      <c r="C298" s="0" t="n">
        <v>7</v>
      </c>
      <c r="D298" s="0" t="s">
        <v>617</v>
      </c>
      <c r="E298" s="0" t="n">
        <v>8</v>
      </c>
      <c r="F298" s="0" t="s">
        <v>618</v>
      </c>
      <c r="G298" s="0" t="n">
        <v>7</v>
      </c>
    </row>
    <row r="299" customFormat="false" ht="15" hidden="false" customHeight="true" outlineLevel="0" collapsed="false">
      <c r="A299" s="0" t="s">
        <v>522</v>
      </c>
      <c r="B299" s="0" t="s">
        <v>194</v>
      </c>
      <c r="C299" s="0" t="n">
        <v>8</v>
      </c>
      <c r="D299" s="0" t="s">
        <v>619</v>
      </c>
      <c r="E299" s="0" t="n">
        <v>6</v>
      </c>
      <c r="F299" s="0" t="s">
        <v>620</v>
      </c>
      <c r="G299" s="0" t="n">
        <v>8</v>
      </c>
    </row>
    <row r="300" customFormat="false" ht="15" hidden="false" customHeight="true" outlineLevel="0" collapsed="false">
      <c r="A300" s="0" t="s">
        <v>522</v>
      </c>
      <c r="B300" s="0" t="s">
        <v>194</v>
      </c>
      <c r="C300" s="0" t="n">
        <v>9</v>
      </c>
      <c r="D300" s="0" t="s">
        <v>621</v>
      </c>
      <c r="E300" s="0" t="n">
        <v>6</v>
      </c>
      <c r="F300" s="0" t="s">
        <v>622</v>
      </c>
      <c r="G300" s="0" t="n">
        <v>9</v>
      </c>
    </row>
    <row r="301" customFormat="false" ht="15" hidden="false" customHeight="true" outlineLevel="0" collapsed="false">
      <c r="A301" s="0" t="s">
        <v>522</v>
      </c>
      <c r="B301" s="0" t="s">
        <v>194</v>
      </c>
      <c r="C301" s="0" t="n">
        <v>10</v>
      </c>
      <c r="D301" s="0" t="s">
        <v>407</v>
      </c>
      <c r="E301" s="0" t="n">
        <v>12</v>
      </c>
      <c r="F301" s="0" t="s">
        <v>623</v>
      </c>
      <c r="G301" s="0" t="n">
        <v>10</v>
      </c>
    </row>
    <row r="302" customFormat="false" ht="15" hidden="false" customHeight="true" outlineLevel="0" collapsed="false">
      <c r="A302" s="0" t="s">
        <v>522</v>
      </c>
      <c r="B302" s="0" t="s">
        <v>194</v>
      </c>
      <c r="C302" s="0" t="n">
        <v>11</v>
      </c>
      <c r="D302" s="0" t="s">
        <v>409</v>
      </c>
      <c r="E302" s="0" t="n">
        <v>12</v>
      </c>
      <c r="F302" s="0" t="s">
        <v>624</v>
      </c>
      <c r="G302" s="0" t="n">
        <v>11</v>
      </c>
    </row>
    <row r="303" customFormat="false" ht="15" hidden="false" customHeight="true" outlineLevel="0" collapsed="false">
      <c r="A303" s="0" t="s">
        <v>522</v>
      </c>
      <c r="B303" s="0" t="s">
        <v>194</v>
      </c>
      <c r="C303" s="0" t="n">
        <v>12</v>
      </c>
      <c r="D303" s="0" t="s">
        <v>411</v>
      </c>
      <c r="E303" s="0" t="n">
        <v>12</v>
      </c>
      <c r="F303" s="0" t="s">
        <v>625</v>
      </c>
      <c r="G303" s="0" t="n">
        <v>12</v>
      </c>
    </row>
    <row r="304" customFormat="false" ht="15" hidden="false" customHeight="true" outlineLevel="0" collapsed="false">
      <c r="A304" s="0" t="s">
        <v>522</v>
      </c>
      <c r="B304" s="0" t="s">
        <v>194</v>
      </c>
      <c r="C304" s="0" t="n">
        <v>13</v>
      </c>
      <c r="D304" s="0" t="s">
        <v>413</v>
      </c>
      <c r="E304" s="0" t="n">
        <v>12</v>
      </c>
      <c r="F304" s="0" t="s">
        <v>626</v>
      </c>
      <c r="G304" s="0" t="n">
        <v>13</v>
      </c>
    </row>
    <row r="305" customFormat="false" ht="15" hidden="false" customHeight="true" outlineLevel="0" collapsed="false">
      <c r="A305" s="0" t="s">
        <v>522</v>
      </c>
      <c r="B305" s="0" t="s">
        <v>194</v>
      </c>
      <c r="C305" s="0" t="n">
        <v>14</v>
      </c>
      <c r="D305" s="0" t="s">
        <v>415</v>
      </c>
      <c r="E305" s="0" t="n">
        <v>12</v>
      </c>
      <c r="F305" s="0" t="s">
        <v>627</v>
      </c>
      <c r="G305" s="0" t="n">
        <v>14</v>
      </c>
    </row>
    <row r="306" customFormat="false" ht="15" hidden="false" customHeight="true" outlineLevel="0" collapsed="false">
      <c r="A306" s="0" t="s">
        <v>522</v>
      </c>
      <c r="B306" s="0" t="s">
        <v>194</v>
      </c>
      <c r="C306" s="0" t="n">
        <v>15</v>
      </c>
      <c r="D306" s="0" t="s">
        <v>417</v>
      </c>
      <c r="E306" s="0" t="n">
        <v>12</v>
      </c>
      <c r="F306" s="0" t="s">
        <v>628</v>
      </c>
      <c r="G306" s="0" t="n">
        <v>15</v>
      </c>
    </row>
    <row r="307" customFormat="false" ht="15" hidden="false" customHeight="true" outlineLevel="0" collapsed="false">
      <c r="A307" s="0" t="s">
        <v>522</v>
      </c>
      <c r="B307" s="0" t="s">
        <v>194</v>
      </c>
      <c r="C307" s="0" t="n">
        <v>16</v>
      </c>
      <c r="D307" s="0" t="s">
        <v>419</v>
      </c>
      <c r="E307" s="0" t="n">
        <v>12</v>
      </c>
      <c r="F307" s="0" t="s">
        <v>629</v>
      </c>
      <c r="G307" s="0" t="n">
        <v>16</v>
      </c>
    </row>
    <row r="308" customFormat="false" ht="15" hidden="false" customHeight="true" outlineLevel="0" collapsed="false">
      <c r="A308" s="0" t="s">
        <v>522</v>
      </c>
      <c r="B308" s="0" t="s">
        <v>194</v>
      </c>
      <c r="C308" s="0" t="n">
        <v>17</v>
      </c>
      <c r="D308" s="0" t="s">
        <v>630</v>
      </c>
      <c r="E308" s="0" t="n">
        <v>12</v>
      </c>
      <c r="F308" s="0" t="s">
        <v>631</v>
      </c>
      <c r="G308" s="0" t="n">
        <v>17</v>
      </c>
    </row>
    <row r="309" customFormat="false" ht="15" hidden="false" customHeight="true" outlineLevel="0" collapsed="false">
      <c r="A309" s="0" t="s">
        <v>522</v>
      </c>
      <c r="B309" s="0" t="s">
        <v>194</v>
      </c>
      <c r="C309" s="0" t="n">
        <v>18</v>
      </c>
      <c r="D309" s="0" t="s">
        <v>632</v>
      </c>
      <c r="E309" s="0" t="n">
        <v>12</v>
      </c>
      <c r="F309" s="0" t="s">
        <v>633</v>
      </c>
      <c r="G309" s="0" t="n">
        <v>18</v>
      </c>
    </row>
    <row r="310" customFormat="false" ht="15" hidden="false" customHeight="true" outlineLevel="0" collapsed="false">
      <c r="A310" s="0" t="s">
        <v>634</v>
      </c>
      <c r="B310" s="0" t="s">
        <v>6</v>
      </c>
      <c r="C310" s="0" t="n">
        <v>1</v>
      </c>
      <c r="D310" s="0" t="s">
        <v>635</v>
      </c>
      <c r="E310" s="0" t="n">
        <v>6</v>
      </c>
      <c r="F310" s="0" t="s">
        <v>636</v>
      </c>
      <c r="G310" s="0" t="n">
        <v>1</v>
      </c>
    </row>
    <row r="311" customFormat="false" ht="15" hidden="false" customHeight="true" outlineLevel="0" collapsed="false">
      <c r="A311" s="0" t="s">
        <v>634</v>
      </c>
      <c r="B311" s="0" t="s">
        <v>6</v>
      </c>
      <c r="C311" s="0" t="n">
        <v>2</v>
      </c>
      <c r="D311" s="0" t="s">
        <v>637</v>
      </c>
      <c r="E311" s="0" t="n">
        <v>6.5</v>
      </c>
      <c r="F311" s="0" t="s">
        <v>638</v>
      </c>
      <c r="G311" s="0" t="n">
        <v>2</v>
      </c>
    </row>
    <row r="312" customFormat="false" ht="15" hidden="false" customHeight="true" outlineLevel="0" collapsed="false">
      <c r="A312" s="0" t="s">
        <v>634</v>
      </c>
      <c r="B312" s="0" t="s">
        <v>6</v>
      </c>
      <c r="C312" s="0" t="n">
        <v>3</v>
      </c>
      <c r="D312" s="0" t="s">
        <v>639</v>
      </c>
      <c r="E312" s="0" t="n">
        <v>6</v>
      </c>
      <c r="F312" s="0" t="s">
        <v>640</v>
      </c>
      <c r="G312" s="0" t="n">
        <v>3</v>
      </c>
    </row>
    <row r="313" customFormat="false" ht="15" hidden="false" customHeight="true" outlineLevel="0" collapsed="false">
      <c r="A313" s="0" t="s">
        <v>634</v>
      </c>
      <c r="B313" s="0" t="s">
        <v>6</v>
      </c>
      <c r="C313" s="0" t="n">
        <v>4</v>
      </c>
      <c r="D313" s="0" t="s">
        <v>641</v>
      </c>
      <c r="E313" s="0" t="n">
        <v>7.5</v>
      </c>
      <c r="F313" s="0" t="s">
        <v>642</v>
      </c>
      <c r="G313" s="0" t="n">
        <v>4</v>
      </c>
    </row>
    <row r="314" customFormat="false" ht="15" hidden="false" customHeight="true" outlineLevel="0" collapsed="false">
      <c r="A314" s="0" t="s">
        <v>634</v>
      </c>
      <c r="B314" s="0" t="s">
        <v>6</v>
      </c>
      <c r="C314" s="0" t="n">
        <v>5</v>
      </c>
      <c r="D314" s="0" t="s">
        <v>643</v>
      </c>
      <c r="E314" s="0" t="n">
        <v>6</v>
      </c>
      <c r="F314" s="0" t="s">
        <v>644</v>
      </c>
      <c r="G314" s="0" t="n">
        <v>5</v>
      </c>
    </row>
    <row r="315" customFormat="false" ht="15" hidden="false" customHeight="true" outlineLevel="0" collapsed="false">
      <c r="A315" s="0" t="s">
        <v>634</v>
      </c>
      <c r="B315" s="0" t="s">
        <v>6</v>
      </c>
      <c r="C315" s="0" t="n">
        <v>6</v>
      </c>
      <c r="D315" s="0" t="s">
        <v>645</v>
      </c>
      <c r="E315" s="0" t="n">
        <v>9.5</v>
      </c>
      <c r="F315" s="0" t="s">
        <v>646</v>
      </c>
      <c r="G315" s="0" t="n">
        <v>6</v>
      </c>
    </row>
    <row r="316" customFormat="false" ht="15" hidden="false" customHeight="true" outlineLevel="0" collapsed="false">
      <c r="A316" s="0" t="s">
        <v>634</v>
      </c>
      <c r="B316" s="0" t="s">
        <v>6</v>
      </c>
      <c r="C316" s="0" t="n">
        <v>7</v>
      </c>
      <c r="D316" s="0" t="s">
        <v>647</v>
      </c>
      <c r="E316" s="0" t="n">
        <v>7.5</v>
      </c>
      <c r="F316" s="0" t="s">
        <v>648</v>
      </c>
      <c r="G316" s="0" t="n">
        <v>7</v>
      </c>
    </row>
    <row r="317" customFormat="false" ht="15" hidden="false" customHeight="true" outlineLevel="0" collapsed="false">
      <c r="A317" s="0" t="s">
        <v>634</v>
      </c>
      <c r="B317" s="0" t="s">
        <v>6</v>
      </c>
      <c r="C317" s="0" t="n">
        <v>8</v>
      </c>
      <c r="D317" s="0" t="s">
        <v>649</v>
      </c>
      <c r="E317" s="0" t="n">
        <v>4</v>
      </c>
      <c r="F317" s="0" t="s">
        <v>650</v>
      </c>
      <c r="G317" s="0" t="n">
        <v>8</v>
      </c>
    </row>
    <row r="318" customFormat="false" ht="15" hidden="false" customHeight="true" outlineLevel="0" collapsed="false">
      <c r="A318" s="0" t="s">
        <v>634</v>
      </c>
      <c r="B318" s="0" t="s">
        <v>6</v>
      </c>
      <c r="C318" s="0" t="n">
        <v>9</v>
      </c>
      <c r="D318" s="0" t="s">
        <v>651</v>
      </c>
      <c r="E318" s="0" t="n">
        <v>3.5</v>
      </c>
      <c r="F318" s="0" t="s">
        <v>652</v>
      </c>
      <c r="G318" s="0" t="n">
        <v>9</v>
      </c>
    </row>
    <row r="319" customFormat="false" ht="15" hidden="false" customHeight="true" outlineLevel="0" collapsed="false">
      <c r="A319" s="0" t="s">
        <v>634</v>
      </c>
      <c r="B319" s="0" t="s">
        <v>6</v>
      </c>
      <c r="C319" s="0" t="n">
        <v>10</v>
      </c>
      <c r="D319" s="0" t="s">
        <v>653</v>
      </c>
      <c r="E319" s="0" t="n">
        <v>6</v>
      </c>
      <c r="F319" s="0" t="s">
        <v>654</v>
      </c>
      <c r="G319" s="0" t="n">
        <v>10</v>
      </c>
    </row>
    <row r="320" customFormat="false" ht="15" hidden="false" customHeight="true" outlineLevel="0" collapsed="false">
      <c r="A320" s="0" t="s">
        <v>634</v>
      </c>
      <c r="B320" s="0" t="s">
        <v>6</v>
      </c>
      <c r="C320" s="0" t="n">
        <v>11</v>
      </c>
      <c r="D320" s="0" t="s">
        <v>655</v>
      </c>
      <c r="E320" s="0" t="n">
        <v>9.5</v>
      </c>
      <c r="F320" s="0" t="s">
        <v>656</v>
      </c>
      <c r="G320" s="0" t="n">
        <v>11</v>
      </c>
    </row>
    <row r="321" customFormat="false" ht="15" hidden="false" customHeight="true" outlineLevel="0" collapsed="false">
      <c r="A321" s="0" t="s">
        <v>634</v>
      </c>
      <c r="B321" s="0" t="s">
        <v>6</v>
      </c>
      <c r="C321" s="0" t="n">
        <v>12</v>
      </c>
      <c r="D321" s="0" t="s">
        <v>657</v>
      </c>
      <c r="E321" s="0" t="n">
        <v>9.5</v>
      </c>
      <c r="F321" s="0" t="s">
        <v>658</v>
      </c>
      <c r="G321" s="0" t="n">
        <v>12</v>
      </c>
    </row>
    <row r="322" customFormat="false" ht="15" hidden="false" customHeight="true" outlineLevel="0" collapsed="false">
      <c r="A322" s="0" t="s">
        <v>634</v>
      </c>
      <c r="B322" s="0" t="s">
        <v>53</v>
      </c>
      <c r="C322" s="0" t="n">
        <v>1</v>
      </c>
      <c r="D322" s="0" t="s">
        <v>659</v>
      </c>
      <c r="E322" s="0" t="n">
        <v>6</v>
      </c>
      <c r="F322" s="0" t="s">
        <v>660</v>
      </c>
      <c r="G322" s="0" t="n">
        <v>1</v>
      </c>
    </row>
    <row r="323" customFormat="false" ht="15" hidden="false" customHeight="true" outlineLevel="0" collapsed="false">
      <c r="A323" s="0" t="s">
        <v>634</v>
      </c>
      <c r="B323" s="0" t="s">
        <v>53</v>
      </c>
      <c r="C323" s="0" t="n">
        <v>2</v>
      </c>
      <c r="D323" s="0" t="s">
        <v>661</v>
      </c>
      <c r="E323" s="0" t="n">
        <v>10</v>
      </c>
      <c r="F323" s="0" t="s">
        <v>662</v>
      </c>
      <c r="G323" s="0" t="n">
        <v>2</v>
      </c>
    </row>
    <row r="324" customFormat="false" ht="15" hidden="false" customHeight="true" outlineLevel="0" collapsed="false">
      <c r="A324" s="0" t="s">
        <v>634</v>
      </c>
      <c r="B324" s="0" t="s">
        <v>53</v>
      </c>
      <c r="C324" s="0" t="n">
        <v>3</v>
      </c>
      <c r="D324" s="0" t="s">
        <v>663</v>
      </c>
      <c r="E324" s="0" t="n">
        <v>9.5</v>
      </c>
      <c r="F324" s="0" t="s">
        <v>664</v>
      </c>
      <c r="G324" s="0" t="n">
        <v>3</v>
      </c>
    </row>
    <row r="325" customFormat="false" ht="15" hidden="false" customHeight="true" outlineLevel="0" collapsed="false">
      <c r="A325" s="0" t="s">
        <v>634</v>
      </c>
      <c r="B325" s="0" t="s">
        <v>53</v>
      </c>
      <c r="C325" s="0" t="n">
        <v>4</v>
      </c>
      <c r="D325" s="0" t="s">
        <v>665</v>
      </c>
      <c r="E325" s="0" t="n">
        <v>7.5</v>
      </c>
      <c r="F325" s="0" t="s">
        <v>666</v>
      </c>
      <c r="G325" s="0" t="n">
        <v>4</v>
      </c>
    </row>
    <row r="326" customFormat="false" ht="15" hidden="false" customHeight="true" outlineLevel="0" collapsed="false">
      <c r="A326" s="0" t="s">
        <v>634</v>
      </c>
      <c r="B326" s="0" t="s">
        <v>53</v>
      </c>
      <c r="C326" s="0" t="n">
        <v>5</v>
      </c>
      <c r="D326" s="0" t="s">
        <v>667</v>
      </c>
      <c r="E326" s="0" t="n">
        <v>7.5</v>
      </c>
      <c r="F326" s="0" t="s">
        <v>668</v>
      </c>
      <c r="G326" s="0" t="n">
        <v>5</v>
      </c>
    </row>
    <row r="327" customFormat="false" ht="15" hidden="false" customHeight="true" outlineLevel="0" collapsed="false">
      <c r="A327" s="0" t="s">
        <v>634</v>
      </c>
      <c r="B327" s="0" t="s">
        <v>53</v>
      </c>
      <c r="C327" s="0" t="n">
        <v>6</v>
      </c>
      <c r="D327" s="0" t="s">
        <v>669</v>
      </c>
      <c r="E327" s="0" t="n">
        <v>11</v>
      </c>
      <c r="F327" s="0" t="s">
        <v>670</v>
      </c>
      <c r="G327" s="0" t="n">
        <v>6</v>
      </c>
    </row>
    <row r="328" customFormat="false" ht="15" hidden="false" customHeight="true" outlineLevel="0" collapsed="false">
      <c r="A328" s="0" t="s">
        <v>634</v>
      </c>
      <c r="B328" s="0" t="s">
        <v>53</v>
      </c>
      <c r="C328" s="0" t="n">
        <v>7</v>
      </c>
      <c r="D328" s="0" t="s">
        <v>671</v>
      </c>
      <c r="E328" s="0" t="n">
        <v>7.5</v>
      </c>
      <c r="F328" s="0" t="s">
        <v>672</v>
      </c>
      <c r="G328" s="0" t="n">
        <v>7</v>
      </c>
    </row>
    <row r="329" customFormat="false" ht="15" hidden="false" customHeight="true" outlineLevel="0" collapsed="false">
      <c r="A329" s="0" t="s">
        <v>634</v>
      </c>
      <c r="B329" s="0" t="s">
        <v>53</v>
      </c>
      <c r="C329" s="0" t="n">
        <v>8</v>
      </c>
      <c r="D329" s="0" t="s">
        <v>673</v>
      </c>
      <c r="E329" s="0" t="n">
        <v>7.5</v>
      </c>
      <c r="F329" s="0" t="s">
        <v>674</v>
      </c>
      <c r="G329" s="0" t="n">
        <v>8</v>
      </c>
    </row>
    <row r="330" customFormat="false" ht="15" hidden="false" customHeight="true" outlineLevel="0" collapsed="false">
      <c r="A330" s="0" t="s">
        <v>634</v>
      </c>
      <c r="B330" s="0" t="s">
        <v>53</v>
      </c>
      <c r="C330" s="0" t="n">
        <v>9</v>
      </c>
      <c r="D330" s="0" t="s">
        <v>675</v>
      </c>
      <c r="E330" s="0" t="n">
        <v>9.5</v>
      </c>
      <c r="F330" s="0" t="s">
        <v>676</v>
      </c>
      <c r="G330" s="0" t="n">
        <v>9</v>
      </c>
    </row>
    <row r="331" customFormat="false" ht="15" hidden="false" customHeight="true" outlineLevel="0" collapsed="false">
      <c r="A331" s="0" t="s">
        <v>634</v>
      </c>
      <c r="B331" s="0" t="s">
        <v>53</v>
      </c>
      <c r="C331" s="0" t="n">
        <v>10</v>
      </c>
      <c r="D331" s="0" t="s">
        <v>677</v>
      </c>
      <c r="E331" s="0" t="n">
        <v>6</v>
      </c>
      <c r="F331" s="0" t="s">
        <v>678</v>
      </c>
      <c r="G331" s="0" t="n">
        <v>10</v>
      </c>
    </row>
    <row r="332" customFormat="false" ht="15" hidden="false" customHeight="true" outlineLevel="0" collapsed="false">
      <c r="A332" s="0" t="s">
        <v>634</v>
      </c>
      <c r="B332" s="0" t="s">
        <v>78</v>
      </c>
      <c r="C332" s="0" t="n">
        <v>1</v>
      </c>
      <c r="D332" s="0" t="s">
        <v>679</v>
      </c>
      <c r="E332" s="0" t="n">
        <v>10.5</v>
      </c>
      <c r="F332" s="0" t="s">
        <v>680</v>
      </c>
      <c r="G332" s="0" t="n">
        <v>1</v>
      </c>
    </row>
    <row r="333" customFormat="false" ht="15" hidden="false" customHeight="true" outlineLevel="0" collapsed="false">
      <c r="A333" s="0" t="s">
        <v>634</v>
      </c>
      <c r="B333" s="0" t="s">
        <v>78</v>
      </c>
      <c r="C333" s="0" t="n">
        <v>2</v>
      </c>
      <c r="D333" s="0" t="s">
        <v>681</v>
      </c>
      <c r="E333" s="0" t="n">
        <v>12.5</v>
      </c>
      <c r="F333" s="0" t="s">
        <v>682</v>
      </c>
      <c r="G333" s="0" t="n">
        <v>2</v>
      </c>
    </row>
    <row r="334" customFormat="false" ht="15" hidden="false" customHeight="true" outlineLevel="0" collapsed="false">
      <c r="A334" s="0" t="s">
        <v>634</v>
      </c>
      <c r="B334" s="0" t="s">
        <v>78</v>
      </c>
      <c r="C334" s="0" t="n">
        <v>3</v>
      </c>
      <c r="D334" s="0" t="s">
        <v>683</v>
      </c>
      <c r="E334" s="0" t="n">
        <v>6</v>
      </c>
      <c r="F334" s="0" t="s">
        <v>684</v>
      </c>
      <c r="G334" s="0" t="n">
        <v>3</v>
      </c>
    </row>
    <row r="335" customFormat="false" ht="15" hidden="false" customHeight="true" outlineLevel="0" collapsed="false">
      <c r="A335" s="0" t="s">
        <v>634</v>
      </c>
      <c r="B335" s="0" t="s">
        <v>78</v>
      </c>
      <c r="C335" s="0" t="n">
        <v>4</v>
      </c>
      <c r="D335" s="0" t="s">
        <v>685</v>
      </c>
      <c r="E335" s="0" t="n">
        <v>12.5</v>
      </c>
      <c r="F335" s="0" t="s">
        <v>686</v>
      </c>
      <c r="G335" s="0" t="n">
        <v>4</v>
      </c>
    </row>
    <row r="336" customFormat="false" ht="15" hidden="false" customHeight="true" outlineLevel="0" collapsed="false">
      <c r="A336" s="0" t="s">
        <v>634</v>
      </c>
      <c r="B336" s="0" t="s">
        <v>78</v>
      </c>
      <c r="C336" s="0" t="n">
        <v>5</v>
      </c>
      <c r="D336" s="0" t="s">
        <v>687</v>
      </c>
      <c r="E336" s="0" t="n">
        <v>12</v>
      </c>
      <c r="F336" s="0" t="s">
        <v>688</v>
      </c>
      <c r="G336" s="0" t="n">
        <v>5</v>
      </c>
    </row>
    <row r="337" customFormat="false" ht="15" hidden="false" customHeight="true" outlineLevel="0" collapsed="false">
      <c r="A337" s="0" t="s">
        <v>634</v>
      </c>
      <c r="B337" s="0" t="s">
        <v>78</v>
      </c>
      <c r="C337" s="0" t="n">
        <v>6</v>
      </c>
      <c r="D337" s="0" t="s">
        <v>689</v>
      </c>
      <c r="E337" s="0" t="n">
        <v>14.5</v>
      </c>
      <c r="F337" s="0" t="s">
        <v>690</v>
      </c>
      <c r="G337" s="0" t="n">
        <v>6</v>
      </c>
    </row>
    <row r="338" customFormat="false" ht="15" hidden="false" customHeight="true" outlineLevel="0" collapsed="false">
      <c r="A338" s="0" t="s">
        <v>634</v>
      </c>
      <c r="B338" s="0" t="s">
        <v>78</v>
      </c>
      <c r="C338" s="0" t="n">
        <v>7</v>
      </c>
      <c r="D338" s="0" t="s">
        <v>691</v>
      </c>
      <c r="E338" s="0" t="n">
        <v>9.5</v>
      </c>
      <c r="F338" s="0" t="s">
        <v>692</v>
      </c>
      <c r="G338" s="0" t="n">
        <v>7</v>
      </c>
    </row>
    <row r="339" customFormat="false" ht="15" hidden="false" customHeight="true" outlineLevel="0" collapsed="false">
      <c r="A339" s="0" t="s">
        <v>634</v>
      </c>
      <c r="B339" s="0" t="s">
        <v>78</v>
      </c>
      <c r="C339" s="0" t="n">
        <v>8</v>
      </c>
      <c r="D339" s="0" t="s">
        <v>693</v>
      </c>
      <c r="E339" s="0" t="n">
        <v>7.5</v>
      </c>
      <c r="F339" s="0" t="s">
        <v>694</v>
      </c>
      <c r="G339" s="0" t="n">
        <v>8</v>
      </c>
    </row>
    <row r="340" customFormat="false" ht="15" hidden="false" customHeight="true" outlineLevel="0" collapsed="false">
      <c r="A340" s="0" t="s">
        <v>634</v>
      </c>
      <c r="B340" s="0" t="s">
        <v>78</v>
      </c>
      <c r="C340" s="0" t="n">
        <v>9</v>
      </c>
      <c r="D340" s="0" t="s">
        <v>695</v>
      </c>
      <c r="E340" s="0" t="n">
        <v>9.5</v>
      </c>
      <c r="F340" s="0" t="s">
        <v>696</v>
      </c>
      <c r="G340" s="0" t="n">
        <v>9</v>
      </c>
    </row>
    <row r="341" customFormat="false" ht="15" hidden="false" customHeight="false" outlineLevel="0" collapsed="false">
      <c r="A341" s="0" t="s">
        <v>634</v>
      </c>
      <c r="B341" s="0" t="s">
        <v>78</v>
      </c>
      <c r="C341" s="0" t="n">
        <v>10</v>
      </c>
      <c r="D341" s="0" t="s">
        <v>697</v>
      </c>
      <c r="E341" s="0" t="n">
        <v>12.5</v>
      </c>
      <c r="F341" s="0" t="s">
        <v>698</v>
      </c>
      <c r="G341" s="0" t="n">
        <v>10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G52" activeCellId="0" sqref="G52"/>
    </sheetView>
  </sheetViews>
  <sheetFormatPr defaultColWidth="10.83203125" defaultRowHeight="15" customHeight="false" zeroHeight="false" outlineLevelRow="0" outlineLevelCol="0"/>
  <cols>
    <col collapsed="false" customWidth="true" hidden="false" outlineLevel="0" max="1" min="1" style="0" width="15.33"/>
    <col collapsed="false" customWidth="false" hidden="false" outlineLevel="0" max="2" min="2" style="19" width="10.83"/>
    <col collapsed="false" customWidth="true" hidden="false" outlineLevel="0" max="3" min="3" style="0" width="12.16"/>
  </cols>
  <sheetData>
    <row r="1" customFormat="false" ht="15" hidden="false" customHeight="true" outlineLevel="0" collapsed="false">
      <c r="A1" s="20" t="s">
        <v>2</v>
      </c>
      <c r="B1" s="21" t="s">
        <v>5</v>
      </c>
      <c r="C1" s="20" t="s">
        <v>8</v>
      </c>
    </row>
    <row r="2" customFormat="false" ht="15" hidden="false" customHeight="true" outlineLevel="0" collapsed="false">
      <c r="A2" s="22" t="s">
        <v>3</v>
      </c>
      <c r="B2" s="23" t="s">
        <v>194</v>
      </c>
      <c r="C2" s="24" t="n">
        <v>160</v>
      </c>
    </row>
    <row r="3" customFormat="false" ht="15" hidden="false" customHeight="true" outlineLevel="0" collapsed="false">
      <c r="A3" s="22" t="s">
        <v>227</v>
      </c>
      <c r="B3" s="23" t="s">
        <v>194</v>
      </c>
      <c r="C3" s="24" t="n">
        <v>210</v>
      </c>
    </row>
    <row r="4" customFormat="false" ht="15" hidden="false" customHeight="true" outlineLevel="0" collapsed="false">
      <c r="A4" s="22" t="s">
        <v>421</v>
      </c>
      <c r="B4" s="23" t="s">
        <v>194</v>
      </c>
      <c r="C4" s="24" t="n">
        <v>210</v>
      </c>
    </row>
    <row r="5" customFormat="false" ht="15" hidden="false" customHeight="true" outlineLevel="0" collapsed="false">
      <c r="A5" s="22" t="s">
        <v>699</v>
      </c>
      <c r="B5" s="23" t="s">
        <v>194</v>
      </c>
      <c r="C5" s="24"/>
    </row>
    <row r="6" customFormat="false" ht="27.75" hidden="false" customHeight="true" outlineLevel="0" collapsed="false">
      <c r="A6" s="22" t="s">
        <v>522</v>
      </c>
      <c r="B6" s="23" t="s">
        <v>194</v>
      </c>
      <c r="C6" s="24" t="n">
        <v>245</v>
      </c>
    </row>
    <row r="7" customFormat="false" ht="15" hidden="false" customHeight="true" outlineLevel="0" collapsed="false">
      <c r="A7" s="22" t="s">
        <v>3</v>
      </c>
      <c r="B7" s="23" t="s">
        <v>99</v>
      </c>
      <c r="C7" s="24" t="n">
        <v>140</v>
      </c>
    </row>
    <row r="8" customFormat="false" ht="15" hidden="false" customHeight="true" outlineLevel="0" collapsed="false">
      <c r="A8" s="22" t="s">
        <v>227</v>
      </c>
      <c r="B8" s="23" t="s">
        <v>99</v>
      </c>
      <c r="C8" s="24" t="n">
        <v>180</v>
      </c>
    </row>
    <row r="9" customFormat="false" ht="15" hidden="false" customHeight="true" outlineLevel="0" collapsed="false">
      <c r="A9" s="22" t="s">
        <v>421</v>
      </c>
      <c r="B9" s="23" t="s">
        <v>99</v>
      </c>
      <c r="C9" s="24" t="n">
        <v>180</v>
      </c>
    </row>
    <row r="10" customFormat="false" ht="15" hidden="false" customHeight="true" outlineLevel="0" collapsed="false">
      <c r="A10" s="22" t="s">
        <v>699</v>
      </c>
      <c r="B10" s="23" t="s">
        <v>99</v>
      </c>
      <c r="C10" s="24"/>
    </row>
    <row r="11" customFormat="false" ht="27.75" hidden="false" customHeight="true" outlineLevel="0" collapsed="false">
      <c r="A11" s="22" t="s">
        <v>522</v>
      </c>
      <c r="B11" s="23" t="s">
        <v>99</v>
      </c>
      <c r="C11" s="24" t="n">
        <v>210</v>
      </c>
    </row>
    <row r="12" customFormat="false" ht="15" hidden="false" customHeight="true" outlineLevel="0" collapsed="false">
      <c r="A12" s="22" t="s">
        <v>3</v>
      </c>
      <c r="B12" s="23" t="s">
        <v>6</v>
      </c>
      <c r="C12" s="24" t="n">
        <v>140</v>
      </c>
    </row>
    <row r="13" customFormat="false" ht="15" hidden="false" customHeight="true" outlineLevel="0" collapsed="false">
      <c r="A13" s="22" t="s">
        <v>227</v>
      </c>
      <c r="B13" s="23" t="s">
        <v>6</v>
      </c>
      <c r="C13" s="24" t="n">
        <v>160</v>
      </c>
    </row>
    <row r="14" customFormat="false" ht="15" hidden="false" customHeight="true" outlineLevel="0" collapsed="false">
      <c r="A14" s="22" t="s">
        <v>421</v>
      </c>
      <c r="B14" s="23" t="s">
        <v>6</v>
      </c>
      <c r="C14" s="24"/>
    </row>
    <row r="15" customFormat="false" ht="15" hidden="false" customHeight="true" outlineLevel="0" collapsed="false">
      <c r="A15" s="22" t="s">
        <v>699</v>
      </c>
      <c r="B15" s="23" t="s">
        <v>6</v>
      </c>
      <c r="C15" s="24" t="n">
        <v>140</v>
      </c>
    </row>
    <row r="16" customFormat="false" ht="27.75" hidden="false" customHeight="true" outlineLevel="0" collapsed="false">
      <c r="A16" s="22" t="s">
        <v>522</v>
      </c>
      <c r="B16" s="23" t="s">
        <v>6</v>
      </c>
      <c r="C16" s="24"/>
    </row>
    <row r="17" customFormat="false" ht="15.75" hidden="false" customHeight="true" outlineLevel="0" collapsed="false">
      <c r="A17" s="22" t="s">
        <v>3</v>
      </c>
      <c r="B17" s="25" t="s">
        <v>700</v>
      </c>
      <c r="C17" s="24" t="n">
        <v>160</v>
      </c>
    </row>
    <row r="18" customFormat="false" ht="15.75" hidden="false" customHeight="true" outlineLevel="0" collapsed="false">
      <c r="A18" s="22" t="s">
        <v>227</v>
      </c>
      <c r="B18" s="25" t="s">
        <v>700</v>
      </c>
      <c r="C18" s="24" t="n">
        <v>210</v>
      </c>
    </row>
    <row r="19" customFormat="false" ht="15.75" hidden="false" customHeight="true" outlineLevel="0" collapsed="false">
      <c r="A19" s="22" t="s">
        <v>421</v>
      </c>
      <c r="B19" s="25" t="s">
        <v>700</v>
      </c>
      <c r="C19" s="24" t="n">
        <v>210</v>
      </c>
    </row>
    <row r="20" customFormat="false" ht="15.75" hidden="false" customHeight="true" outlineLevel="0" collapsed="false">
      <c r="A20" s="22" t="s">
        <v>699</v>
      </c>
      <c r="B20" s="25" t="s">
        <v>700</v>
      </c>
      <c r="C20" s="24"/>
    </row>
    <row r="21" customFormat="false" ht="27.75" hidden="false" customHeight="true" outlineLevel="0" collapsed="false">
      <c r="A21" s="22" t="s">
        <v>522</v>
      </c>
      <c r="B21" s="25" t="s">
        <v>700</v>
      </c>
      <c r="C21" s="24" t="n">
        <v>245</v>
      </c>
    </row>
    <row r="22" customFormat="false" ht="15.75" hidden="false" customHeight="true" outlineLevel="0" collapsed="false">
      <c r="A22" s="22" t="s">
        <v>3</v>
      </c>
      <c r="B22" s="25" t="s">
        <v>132</v>
      </c>
      <c r="C22" s="24" t="n">
        <v>140</v>
      </c>
    </row>
    <row r="23" customFormat="false" ht="15.75" hidden="false" customHeight="true" outlineLevel="0" collapsed="false">
      <c r="A23" s="22" t="s">
        <v>227</v>
      </c>
      <c r="B23" s="25" t="s">
        <v>132</v>
      </c>
      <c r="C23" s="24" t="n">
        <v>180</v>
      </c>
    </row>
    <row r="24" customFormat="false" ht="15.75" hidden="false" customHeight="true" outlineLevel="0" collapsed="false">
      <c r="A24" s="22" t="s">
        <v>421</v>
      </c>
      <c r="B24" s="25" t="s">
        <v>132</v>
      </c>
      <c r="C24" s="24" t="n">
        <v>180</v>
      </c>
    </row>
    <row r="25" customFormat="false" ht="15.75" hidden="false" customHeight="true" outlineLevel="0" collapsed="false">
      <c r="A25" s="22" t="s">
        <v>699</v>
      </c>
      <c r="B25" s="25" t="s">
        <v>132</v>
      </c>
      <c r="C25" s="24"/>
    </row>
    <row r="26" customFormat="false" ht="27.75" hidden="false" customHeight="true" outlineLevel="0" collapsed="false">
      <c r="A26" s="22" t="s">
        <v>522</v>
      </c>
      <c r="B26" s="25" t="s">
        <v>132</v>
      </c>
      <c r="C26" s="24" t="n">
        <v>210</v>
      </c>
    </row>
    <row r="27" customFormat="false" ht="15.75" hidden="false" customHeight="true" outlineLevel="0" collapsed="false">
      <c r="A27" s="22" t="s">
        <v>3</v>
      </c>
      <c r="B27" s="25" t="s">
        <v>53</v>
      </c>
      <c r="C27" s="24" t="n">
        <v>140</v>
      </c>
    </row>
    <row r="28" customFormat="false" ht="15.75" hidden="false" customHeight="true" outlineLevel="0" collapsed="false">
      <c r="A28" s="22" t="s">
        <v>227</v>
      </c>
      <c r="B28" s="25" t="s">
        <v>53</v>
      </c>
      <c r="C28" s="24" t="n">
        <v>160</v>
      </c>
    </row>
    <row r="29" customFormat="false" ht="15.75" hidden="false" customHeight="true" outlineLevel="0" collapsed="false">
      <c r="A29" s="22" t="s">
        <v>421</v>
      </c>
      <c r="B29" s="25" t="s">
        <v>53</v>
      </c>
      <c r="C29" s="24"/>
    </row>
    <row r="30" customFormat="false" ht="15.75" hidden="false" customHeight="true" outlineLevel="0" collapsed="false">
      <c r="A30" s="22" t="s">
        <v>699</v>
      </c>
      <c r="B30" s="25" t="s">
        <v>53</v>
      </c>
      <c r="C30" s="24" t="n">
        <v>140</v>
      </c>
    </row>
    <row r="31" customFormat="false" ht="27.75" hidden="false" customHeight="true" outlineLevel="0" collapsed="false">
      <c r="A31" s="22" t="s">
        <v>522</v>
      </c>
      <c r="B31" s="25" t="s">
        <v>53</v>
      </c>
      <c r="C31" s="24"/>
    </row>
    <row r="32" customFormat="false" ht="15.75" hidden="false" customHeight="true" outlineLevel="0" collapsed="false">
      <c r="A32" s="22" t="s">
        <v>3</v>
      </c>
      <c r="B32" s="25" t="s">
        <v>78</v>
      </c>
      <c r="C32" s="24" t="n">
        <v>140</v>
      </c>
    </row>
    <row r="33" customFormat="false" ht="15.75" hidden="false" customHeight="true" outlineLevel="0" collapsed="false">
      <c r="A33" s="22" t="s">
        <v>227</v>
      </c>
      <c r="B33" s="25" t="s">
        <v>78</v>
      </c>
      <c r="C33" s="24" t="n">
        <v>160</v>
      </c>
    </row>
    <row r="34" customFormat="false" ht="15.75" hidden="false" customHeight="true" outlineLevel="0" collapsed="false">
      <c r="A34" s="22" t="s">
        <v>421</v>
      </c>
      <c r="B34" s="25" t="s">
        <v>78</v>
      </c>
      <c r="C34" s="24"/>
    </row>
    <row r="35" customFormat="false" ht="15.75" hidden="false" customHeight="true" outlineLevel="0" collapsed="false">
      <c r="A35" s="22" t="s">
        <v>699</v>
      </c>
      <c r="B35" s="25" t="s">
        <v>78</v>
      </c>
      <c r="C35" s="24" t="n">
        <v>140</v>
      </c>
    </row>
    <row r="36" customFormat="false" ht="27.75" hidden="false" customHeight="true" outlineLevel="0" collapsed="false">
      <c r="A36" s="22" t="s">
        <v>522</v>
      </c>
      <c r="B36" s="25" t="s">
        <v>78</v>
      </c>
      <c r="C36" s="24"/>
    </row>
    <row r="37" customFormat="false" ht="15.75" hidden="false" customHeight="true" outlineLevel="0" collapsed="false">
      <c r="A37" s="26" t="s">
        <v>3</v>
      </c>
      <c r="B37" s="23" t="s">
        <v>163</v>
      </c>
      <c r="C37" s="24" t="n">
        <v>140</v>
      </c>
    </row>
    <row r="38" customFormat="false" ht="15.75" hidden="false" customHeight="true" outlineLevel="0" collapsed="false">
      <c r="A38" s="22" t="s">
        <v>227</v>
      </c>
      <c r="B38" s="23" t="s">
        <v>163</v>
      </c>
      <c r="C38" s="24" t="n">
        <v>180</v>
      </c>
    </row>
    <row r="39" customFormat="false" ht="15.75" hidden="false" customHeight="true" outlineLevel="0" collapsed="false">
      <c r="A39" s="26" t="s">
        <v>421</v>
      </c>
      <c r="B39" s="23" t="s">
        <v>163</v>
      </c>
      <c r="C39" s="24" t="n">
        <v>180</v>
      </c>
    </row>
    <row r="40" customFormat="false" ht="15.75" hidden="false" customHeight="true" outlineLevel="0" collapsed="false">
      <c r="A40" s="26" t="s">
        <v>699</v>
      </c>
      <c r="B40" s="23" t="s">
        <v>163</v>
      </c>
      <c r="C40" s="24"/>
    </row>
    <row r="41" customFormat="false" ht="27.75" hidden="false" customHeight="true" outlineLevel="0" collapsed="false">
      <c r="A41" s="26" t="s">
        <v>522</v>
      </c>
      <c r="B41" s="23" t="s">
        <v>163</v>
      </c>
      <c r="C41" s="24" t="n">
        <v>210</v>
      </c>
    </row>
    <row r="42" customFormat="false" ht="24" hidden="false" customHeight="true" outlineLevel="0" collapsed="false"/>
    <row r="43" customFormat="false" ht="24" hidden="false" customHeight="true" outlineLevel="0" collapsed="false"/>
    <row r="44" customFormat="false" ht="24" hidden="false" customHeight="true" outlineLevel="0" collapsed="false"/>
    <row r="45" customFormat="false" ht="24" hidden="false" customHeight="true" outlineLevel="0" collapsed="false"/>
    <row r="46" customFormat="false" ht="24" hidden="false" customHeight="true" outlineLevel="0" collapsed="false"/>
  </sheetData>
  <autoFilter ref="A1:C46"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2026-07-08T16:04:49Z</dcterms:created>
  <dc:creator>openpyxl</dc:creator>
  <dc:description/>
  <dc:language>en-US</dc:language>
  <cp:lastModifiedBy>kumar radhakrishnan</cp:lastModifiedBy>
  <dcterms:modified xsi:type="dcterms:W3CDTF">2026-08-04T10:26:22Z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